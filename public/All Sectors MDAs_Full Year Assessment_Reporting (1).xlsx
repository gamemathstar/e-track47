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run\Desktop\June 5 2025\My Own Documents\Dell Transfer\My Dell Documents\2. PPS\Retreat\Delivery Unit\Report No_2\"/>
    </mc:Choice>
  </mc:AlternateContent>
  <xr:revisionPtr revIDLastSave="0" documentId="13_ncr:1_{F4707D83-6EB7-43D3-BC2F-81822F8D6285}" xr6:coauthVersionLast="47" xr6:coauthVersionMax="47" xr10:uidLastSave="{00000000-0000-0000-0000-000000000000}"/>
  <bookViews>
    <workbookView xWindow="-110" yWindow="-110" windowWidth="19420" windowHeight="12220" firstSheet="2" activeTab="2" xr2:uid="{D136CB8E-E4AA-40C8-B733-07873CCB1E50}"/>
  </bookViews>
  <sheets>
    <sheet name="Overall Summary" sheetId="28" r:id="rId1"/>
    <sheet name="Grand Summary-Sector_MDAs+" sheetId="21" r:id="rId2"/>
    <sheet name="Sector_MDAs Summary-Details" sheetId="26" r:id="rId3"/>
    <sheet name="1. OHOS" sheetId="1" r:id="rId4"/>
    <sheet name="2. SSGs Office" sheetId="2" r:id="rId5"/>
    <sheet name="3. Min. of Special Duties" sheetId="3" r:id="rId6"/>
    <sheet name="4. Min. of LG" sheetId="4" r:id="rId7"/>
    <sheet name="5. Min. of Budget" sheetId="5" r:id="rId8"/>
    <sheet name="6. Min. of Works" sheetId="6" r:id="rId9"/>
    <sheet name="7. Power" sheetId="27" r:id="rId10"/>
    <sheet name="8. Min. of Comm" sheetId="8" r:id="rId11"/>
    <sheet name="9. Min. of Agric" sheetId="9" r:id="rId12"/>
    <sheet name="10. Min. of Water SS" sheetId="10" r:id="rId13"/>
    <sheet name="11. Min. of Health" sheetId="11" r:id="rId14"/>
    <sheet name="12. Min. of Infor" sheetId="12" r:id="rId15"/>
    <sheet name="13. Min. of Basic Edu" sheetId="13" r:id="rId16"/>
    <sheet name="14. Min. of Higher Edu" sheetId="14" r:id="rId17"/>
    <sheet name="15. Empowerment" sheetId="15" r:id="rId18"/>
    <sheet name="16. JigawaInvest" sheetId="16" r:id="rId19"/>
    <sheet name="MoF-JIRS" sheetId="25" r:id="rId20"/>
    <sheet name="18. Min. of Women Affrs" sheetId="18" r:id="rId21"/>
    <sheet name="19. Min. of Env" sheetId="19" r:id="rId22"/>
    <sheet name="20. Min. of Land" sheetId="20" r:id="rId23"/>
    <sheet name="21. MoJustice" sheetId="22" r:id="rId24"/>
  </sheets>
  <externalReferences>
    <externalReference r:id="rId25"/>
    <externalReference r:id="rId26"/>
  </externalReferences>
  <definedNames>
    <definedName name="_xlnm.Print_Area" localSheetId="3">'1. OHOS'!$A$1:$I$43</definedName>
    <definedName name="_xlnm.Print_Area" localSheetId="12">'10. Min. of Water SS'!$A$1:$I$49</definedName>
    <definedName name="_xlnm.Print_Area" localSheetId="13">'11. Min. of Health'!#REF!</definedName>
    <definedName name="_xlnm.Print_Area" localSheetId="14">'12. Min. of Infor'!$A$1:$I$45</definedName>
    <definedName name="_xlnm.Print_Area" localSheetId="15">'13. Min. of Basic Edu'!$A$1:$I$44</definedName>
    <definedName name="_xlnm.Print_Area" localSheetId="16">'14. Min. of Higher Edu'!$A$1:$I$50</definedName>
    <definedName name="_xlnm.Print_Area" localSheetId="17">'15. Empowerment'!$A$1:$I$34</definedName>
    <definedName name="_xlnm.Print_Area" localSheetId="18">'16. JigawaInvest'!$A$1:$I$34</definedName>
    <definedName name="_xlnm.Print_Area" localSheetId="20">'18. Min. of Women Affrs'!$A$1:$I$34</definedName>
    <definedName name="_xlnm.Print_Area" localSheetId="21">'19. Min. of Env'!$A$1:$I$71</definedName>
    <definedName name="_xlnm.Print_Area" localSheetId="4">'2. SSGs Office'!$A$1:$I$23</definedName>
    <definedName name="_xlnm.Print_Area" localSheetId="22">'20. Min. of Land'!$A$1:$I$39</definedName>
    <definedName name="_xlnm.Print_Area" localSheetId="23">'21. MoJustice'!$A$1:$I$34</definedName>
    <definedName name="_xlnm.Print_Area" localSheetId="5">'3. Min. of Special Duties'!$A$1:$J$28</definedName>
    <definedName name="_xlnm.Print_Area" localSheetId="6">'4. Min. of LG'!#REF!</definedName>
    <definedName name="_xlnm.Print_Area" localSheetId="7">'5. Min. of Budget'!$A$1:$I$32</definedName>
    <definedName name="_xlnm.Print_Area" localSheetId="8">'6. Min. of Works'!$A$1:$J$16</definedName>
    <definedName name="_xlnm.Print_Area" localSheetId="9">'7. Power'!$A$1:$I$14</definedName>
    <definedName name="_xlnm.Print_Area" localSheetId="10">'8. Min. of Comm'!$A$1:$I$59</definedName>
    <definedName name="_xlnm.Print_Area" localSheetId="11">'9. Min. of Agric'!$A$1:$I$98</definedName>
    <definedName name="_xlnm.Print_Area" localSheetId="1">'Grand Summary-Sector_MDAs+'!$A$1:$H$26</definedName>
    <definedName name="_xlnm.Print_Area" localSheetId="19">'MoF-JIRS'!$A$1:$I$25</definedName>
    <definedName name="_xlnm.Print_Area" localSheetId="0">'Overall Summary'!$A$1:$M$30</definedName>
    <definedName name="_xlnm.Print_Area" localSheetId="2">'Sector_MDAs Summary-Details'!$A$1:$M$53</definedName>
    <definedName name="_xlnm.Print_Titles" localSheetId="3">'1. OHOS'!$1:$4</definedName>
    <definedName name="_xlnm.Print_Titles" localSheetId="12">'10. Min. of Water SS'!$1:$4</definedName>
    <definedName name="_xlnm.Print_Titles" localSheetId="14">'12. Min. of Infor'!$1:$3</definedName>
    <definedName name="_xlnm.Print_Titles" localSheetId="15">'13. Min. of Basic Edu'!$1:$4</definedName>
    <definedName name="_xlnm.Print_Titles" localSheetId="16">'14. Min. of Higher Edu'!$1:$3</definedName>
    <definedName name="_xlnm.Print_Titles" localSheetId="17">'15. Empowerment'!$1:$3</definedName>
    <definedName name="_xlnm.Print_Titles" localSheetId="18">'16. JigawaInvest'!$1:$4</definedName>
    <definedName name="_xlnm.Print_Titles" localSheetId="20">'18. Min. of Women Affrs'!$1:$4</definedName>
    <definedName name="_xlnm.Print_Titles" localSheetId="21">'19. Min. of Env'!$1:$3</definedName>
    <definedName name="_xlnm.Print_Titles" localSheetId="4">'2. SSGs Office'!$1:$3</definedName>
    <definedName name="_xlnm.Print_Titles" localSheetId="22">'20. Min. of Land'!$1:$2</definedName>
    <definedName name="_xlnm.Print_Titles" localSheetId="23">'21. MoJustice'!$2:$4</definedName>
    <definedName name="_xlnm.Print_Titles" localSheetId="5">'3. Min. of Special Duties'!$1:$4</definedName>
    <definedName name="_xlnm.Print_Titles" localSheetId="6">'4. Min. of LG'!#REF!</definedName>
    <definedName name="_xlnm.Print_Titles" localSheetId="7">'5. Min. of Budget'!$1:$4</definedName>
    <definedName name="_xlnm.Print_Titles" localSheetId="8">'6. Min. of Works'!$1:$4</definedName>
    <definedName name="_xlnm.Print_Titles" localSheetId="10">'8. Min. of Comm'!$1:$4</definedName>
    <definedName name="_xlnm.Print_Titles" localSheetId="11">'9. Min. of Agric'!$1:$4</definedName>
    <definedName name="_xlnm.Print_Titles" localSheetId="1">'Grand Summary-Sector_MDAs+'!$1:$4</definedName>
    <definedName name="_xlnm.Print_Titles" localSheetId="19">'MoF-JIRS'!$1:$4</definedName>
    <definedName name="_xlnm.Print_Titles" localSheetId="0">'Overall Summary'!$1:$5</definedName>
    <definedName name="_xlnm.Print_Titles" localSheetId="2">'Sector_MDAs Summary-Details'!$1:$5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7" i="26" l="1"/>
  <c r="K46" i="26"/>
  <c r="K45" i="26"/>
  <c r="K44" i="26"/>
  <c r="K43" i="26"/>
  <c r="K42" i="26"/>
  <c r="K41" i="26"/>
  <c r="B34" i="21" l="1"/>
  <c r="C23" i="21" l="1"/>
  <c r="C18" i="21"/>
  <c r="C20" i="21"/>
  <c r="C19" i="21"/>
  <c r="C10" i="21"/>
  <c r="C21" i="21"/>
  <c r="C6" i="21"/>
  <c r="C9" i="21"/>
  <c r="C12" i="21"/>
  <c r="C24" i="21"/>
  <c r="C11" i="21"/>
  <c r="C25" i="21"/>
  <c r="C22" i="21"/>
  <c r="C14" i="21"/>
  <c r="C8" i="21"/>
  <c r="C17" i="21"/>
  <c r="C15" i="21"/>
  <c r="C7" i="21"/>
  <c r="C16" i="21"/>
  <c r="C13" i="21"/>
  <c r="C5" i="21"/>
  <c r="C26" i="21"/>
  <c r="C29" i="28"/>
  <c r="C5" i="28"/>
  <c r="C4" i="28"/>
  <c r="C3" i="28"/>
  <c r="K3" i="28"/>
  <c r="K130" i="26"/>
  <c r="K129" i="26"/>
  <c r="K128" i="26"/>
  <c r="K127" i="26"/>
  <c r="K126" i="26"/>
  <c r="H37" i="1"/>
  <c r="I36" i="1"/>
  <c r="I24" i="1"/>
  <c r="I18" i="1"/>
  <c r="I12" i="1"/>
  <c r="K37" i="26"/>
  <c r="K36" i="26"/>
  <c r="K35" i="26"/>
  <c r="K34" i="26"/>
  <c r="K33" i="26"/>
  <c r="K38" i="26"/>
  <c r="K28" i="26"/>
  <c r="K27" i="26"/>
  <c r="K26" i="26"/>
  <c r="K25" i="26"/>
  <c r="K22" i="26"/>
  <c r="K21" i="26"/>
  <c r="K20" i="26"/>
  <c r="K18" i="26"/>
  <c r="K17" i="26"/>
  <c r="K16" i="26"/>
  <c r="K15" i="26"/>
  <c r="K13" i="26"/>
  <c r="K12" i="26"/>
  <c r="K8" i="26"/>
  <c r="M12" i="26"/>
  <c r="M13" i="26"/>
  <c r="K14" i="26"/>
  <c r="M14" i="26"/>
  <c r="M15" i="26"/>
  <c r="K183" i="26"/>
  <c r="G23" i="21" s="1"/>
  <c r="K181" i="26"/>
  <c r="K180" i="26"/>
  <c r="K179" i="26"/>
  <c r="K178" i="26"/>
  <c r="K177" i="26"/>
  <c r="K176" i="26"/>
  <c r="K175" i="26"/>
  <c r="K174" i="26"/>
  <c r="J183" i="26"/>
  <c r="I183" i="26"/>
  <c r="H183" i="26"/>
  <c r="G183" i="26"/>
  <c r="F183" i="26"/>
  <c r="E183" i="26"/>
  <c r="D183" i="26"/>
  <c r="C183" i="26"/>
  <c r="G36" i="2"/>
  <c r="H36" i="2" s="1"/>
  <c r="G38" i="2"/>
  <c r="G37" i="2"/>
  <c r="H37" i="2" s="1"/>
  <c r="G22" i="2"/>
  <c r="H43" i="8"/>
  <c r="G5" i="2"/>
  <c r="H5" i="2" s="1"/>
  <c r="G33" i="2"/>
  <c r="H33" i="2" s="1"/>
  <c r="I34" i="2" s="1"/>
  <c r="E26" i="2"/>
  <c r="G26" i="2" s="1"/>
  <c r="G25" i="2"/>
  <c r="H25" i="2" s="1"/>
  <c r="G9" i="2"/>
  <c r="H9" i="2" s="1"/>
  <c r="G8" i="2"/>
  <c r="H8" i="2" s="1"/>
  <c r="I10" i="2" s="1"/>
  <c r="I39" i="2" l="1"/>
  <c r="I28" i="2"/>
  <c r="M199" i="26"/>
  <c r="M198" i="26"/>
  <c r="M197" i="26"/>
  <c r="M196" i="26"/>
  <c r="M195" i="26"/>
  <c r="I49" i="8"/>
  <c r="K19" i="26" s="1"/>
  <c r="M19" i="26" s="1"/>
  <c r="H47" i="8"/>
  <c r="G47" i="8"/>
  <c r="M21" i="26"/>
  <c r="M20" i="26"/>
  <c r="M18" i="26"/>
  <c r="M17" i="26"/>
  <c r="M16" i="26"/>
  <c r="M27" i="28"/>
  <c r="M26" i="28"/>
  <c r="M25" i="28"/>
  <c r="M24" i="28"/>
  <c r="M23" i="28"/>
  <c r="M22" i="28"/>
  <c r="M21" i="28"/>
  <c r="M20" i="28"/>
  <c r="M19" i="28"/>
  <c r="M18" i="28"/>
  <c r="M17" i="28"/>
  <c r="M16" i="28"/>
  <c r="M15" i="28"/>
  <c r="M14" i="28"/>
  <c r="M13" i="28"/>
  <c r="M12" i="28"/>
  <c r="M11" i="28"/>
  <c r="M10" i="28"/>
  <c r="M8" i="28"/>
  <c r="M7" i="28"/>
  <c r="J165" i="26"/>
  <c r="I165" i="26"/>
  <c r="H165" i="26"/>
  <c r="G165" i="26"/>
  <c r="F165" i="26"/>
  <c r="E165" i="26"/>
  <c r="D165" i="26"/>
  <c r="C165" i="26"/>
  <c r="D1" i="28"/>
  <c r="D3" i="28"/>
  <c r="E3" i="28"/>
  <c r="F3" i="28"/>
  <c r="G3" i="28"/>
  <c r="H3" i="28"/>
  <c r="I3" i="28"/>
  <c r="L3" i="28"/>
  <c r="M3" i="28"/>
  <c r="D4" i="28"/>
  <c r="F4" i="28"/>
  <c r="G4" i="28"/>
  <c r="H4" i="28"/>
  <c r="I4" i="28"/>
  <c r="J3" i="28"/>
  <c r="L4" i="28"/>
  <c r="M4" i="28"/>
  <c r="D5" i="28"/>
  <c r="F5" i="28"/>
  <c r="G5" i="28"/>
  <c r="H5" i="28"/>
  <c r="I5" i="28"/>
  <c r="J5" i="28"/>
  <c r="K5" i="28"/>
  <c r="L5" i="28"/>
  <c r="M5" i="28"/>
  <c r="D16" i="28"/>
  <c r="D24" i="28"/>
  <c r="E24" i="28"/>
  <c r="F24" i="28"/>
  <c r="G24" i="28"/>
  <c r="H24" i="28"/>
  <c r="I24" i="28"/>
  <c r="J24" i="28"/>
  <c r="K24" i="28"/>
  <c r="N24" i="28" l="1"/>
  <c r="K98" i="26"/>
  <c r="L16" i="28" s="1"/>
  <c r="K96" i="26"/>
  <c r="K95" i="26"/>
  <c r="K94" i="26"/>
  <c r="K93" i="26"/>
  <c r="G13" i="21"/>
  <c r="G15" i="21"/>
  <c r="G17" i="21"/>
  <c r="G8" i="21"/>
  <c r="G14" i="21"/>
  <c r="G22" i="21"/>
  <c r="G25" i="21"/>
  <c r="G11" i="21"/>
  <c r="G24" i="21"/>
  <c r="G12" i="21"/>
  <c r="G9" i="21"/>
  <c r="G21" i="21"/>
  <c r="G10" i="21"/>
  <c r="G20" i="21"/>
  <c r="K200" i="26"/>
  <c r="L27" i="28" s="1"/>
  <c r="J200" i="26"/>
  <c r="K27" i="28" s="1"/>
  <c r="I200" i="26"/>
  <c r="J27" i="28" s="1"/>
  <c r="H200" i="26"/>
  <c r="I27" i="28" s="1"/>
  <c r="G200" i="26"/>
  <c r="H27" i="28" s="1"/>
  <c r="F200" i="26"/>
  <c r="E200" i="26"/>
  <c r="F27" i="28" s="1"/>
  <c r="D200" i="26"/>
  <c r="E27" i="28" s="1"/>
  <c r="C200" i="26"/>
  <c r="D27" i="28" s="1"/>
  <c r="K199" i="26"/>
  <c r="K198" i="26"/>
  <c r="K197" i="26"/>
  <c r="K196" i="26"/>
  <c r="K195" i="26"/>
  <c r="K192" i="26"/>
  <c r="L26" i="28" s="1"/>
  <c r="J192" i="26"/>
  <c r="K26" i="28" s="1"/>
  <c r="I192" i="26"/>
  <c r="J26" i="28" s="1"/>
  <c r="H192" i="26"/>
  <c r="I26" i="28" s="1"/>
  <c r="G192" i="26"/>
  <c r="H26" i="28" s="1"/>
  <c r="F192" i="26"/>
  <c r="G26" i="28" s="1"/>
  <c r="E192" i="26"/>
  <c r="F26" i="28" s="1"/>
  <c r="D192" i="26"/>
  <c r="E26" i="28" s="1"/>
  <c r="C192" i="26"/>
  <c r="D26" i="28" s="1"/>
  <c r="K191" i="26"/>
  <c r="K190" i="26"/>
  <c r="K189" i="26"/>
  <c r="K188" i="26"/>
  <c r="K187" i="26"/>
  <c r="K186" i="26"/>
  <c r="L25" i="28"/>
  <c r="K25" i="28"/>
  <c r="J25" i="28"/>
  <c r="I25" i="28"/>
  <c r="H25" i="28"/>
  <c r="G25" i="28"/>
  <c r="F25" i="28"/>
  <c r="E25" i="28"/>
  <c r="D25" i="28"/>
  <c r="K163" i="26"/>
  <c r="K160" i="26"/>
  <c r="L23" i="28" s="1"/>
  <c r="J160" i="26"/>
  <c r="K23" i="28" s="1"/>
  <c r="I160" i="26"/>
  <c r="J23" i="28" s="1"/>
  <c r="H160" i="26"/>
  <c r="I23" i="28" s="1"/>
  <c r="G160" i="26"/>
  <c r="H23" i="28" s="1"/>
  <c r="F160" i="26"/>
  <c r="G23" i="28" s="1"/>
  <c r="E160" i="26"/>
  <c r="F23" i="28" s="1"/>
  <c r="D160" i="26"/>
  <c r="E23" i="28" s="1"/>
  <c r="C160" i="26"/>
  <c r="D23" i="28" s="1"/>
  <c r="K158" i="26"/>
  <c r="K157" i="26"/>
  <c r="K156" i="26"/>
  <c r="K155" i="26"/>
  <c r="K152" i="26"/>
  <c r="L22" i="28" s="1"/>
  <c r="J152" i="26"/>
  <c r="K22" i="28" s="1"/>
  <c r="I152" i="26"/>
  <c r="J22" i="28" s="1"/>
  <c r="H152" i="26"/>
  <c r="I22" i="28" s="1"/>
  <c r="G152" i="26"/>
  <c r="H22" i="28" s="1"/>
  <c r="F152" i="26"/>
  <c r="G22" i="28" s="1"/>
  <c r="E152" i="26"/>
  <c r="F22" i="28" s="1"/>
  <c r="D152" i="26"/>
  <c r="E22" i="28" s="1"/>
  <c r="C152" i="26"/>
  <c r="D22" i="28" s="1"/>
  <c r="K146" i="26"/>
  <c r="L21" i="28" s="1"/>
  <c r="J146" i="26"/>
  <c r="K21" i="28" s="1"/>
  <c r="I146" i="26"/>
  <c r="J21" i="28" s="1"/>
  <c r="H146" i="26"/>
  <c r="I21" i="28" s="1"/>
  <c r="G146" i="26"/>
  <c r="H21" i="28" s="1"/>
  <c r="F146" i="26"/>
  <c r="G21" i="28" s="1"/>
  <c r="E146" i="26"/>
  <c r="F21" i="28" s="1"/>
  <c r="D146" i="26"/>
  <c r="E21" i="28" s="1"/>
  <c r="C146" i="26"/>
  <c r="D21" i="28" s="1"/>
  <c r="K144" i="26"/>
  <c r="K143" i="26"/>
  <c r="K142" i="26"/>
  <c r="K141" i="26"/>
  <c r="K140" i="26"/>
  <c r="K139" i="26"/>
  <c r="K138" i="26"/>
  <c r="K137" i="26"/>
  <c r="K136" i="26"/>
  <c r="K135" i="26"/>
  <c r="K134" i="26"/>
  <c r="K133" i="26"/>
  <c r="L20" i="28"/>
  <c r="J130" i="26"/>
  <c r="K20" i="28" s="1"/>
  <c r="I130" i="26"/>
  <c r="J20" i="28" s="1"/>
  <c r="H130" i="26"/>
  <c r="I20" i="28" s="1"/>
  <c r="G130" i="26"/>
  <c r="H20" i="28" s="1"/>
  <c r="F130" i="26"/>
  <c r="G20" i="28" s="1"/>
  <c r="E130" i="26"/>
  <c r="F20" i="28" s="1"/>
  <c r="D130" i="26"/>
  <c r="E20" i="28" s="1"/>
  <c r="C130" i="26"/>
  <c r="D20" i="28" s="1"/>
  <c r="J119" i="26"/>
  <c r="K19" i="28" s="1"/>
  <c r="I119" i="26"/>
  <c r="J19" i="28" s="1"/>
  <c r="H119" i="26"/>
  <c r="I19" i="28" s="1"/>
  <c r="G119" i="26"/>
  <c r="H19" i="28" s="1"/>
  <c r="F119" i="26"/>
  <c r="G19" i="28" s="1"/>
  <c r="E119" i="26"/>
  <c r="F19" i="28" s="1"/>
  <c r="D119" i="26"/>
  <c r="E19" i="28" s="1"/>
  <c r="C119" i="26"/>
  <c r="D19" i="28" s="1"/>
  <c r="K118" i="26"/>
  <c r="K119" i="26" s="1"/>
  <c r="L19" i="28" s="1"/>
  <c r="J114" i="26"/>
  <c r="K18" i="28" s="1"/>
  <c r="I114" i="26"/>
  <c r="J18" i="28" s="1"/>
  <c r="H114" i="26"/>
  <c r="I18" i="28" s="1"/>
  <c r="G114" i="26"/>
  <c r="H18" i="28" s="1"/>
  <c r="F114" i="26"/>
  <c r="G18" i="28" s="1"/>
  <c r="E114" i="26"/>
  <c r="F18" i="28" s="1"/>
  <c r="D114" i="26"/>
  <c r="E18" i="28" s="1"/>
  <c r="C114" i="26"/>
  <c r="D18" i="28" s="1"/>
  <c r="K112" i="26"/>
  <c r="K114" i="26" s="1"/>
  <c r="L18" i="28" s="1"/>
  <c r="K104" i="26"/>
  <c r="L17" i="28" s="1"/>
  <c r="J104" i="26"/>
  <c r="K17" i="28" s="1"/>
  <c r="I104" i="26"/>
  <c r="J17" i="28" s="1"/>
  <c r="H104" i="26"/>
  <c r="I17" i="28" s="1"/>
  <c r="G104" i="26"/>
  <c r="H17" i="28" s="1"/>
  <c r="F104" i="26"/>
  <c r="G17" i="28" s="1"/>
  <c r="E104" i="26"/>
  <c r="F17" i="28" s="1"/>
  <c r="D104" i="26"/>
  <c r="E17" i="28" s="1"/>
  <c r="C104" i="26"/>
  <c r="D17" i="28" s="1"/>
  <c r="K103" i="26"/>
  <c r="K102" i="26"/>
  <c r="K101" i="26"/>
  <c r="J98" i="26"/>
  <c r="K16" i="28" s="1"/>
  <c r="I98" i="26"/>
  <c r="J16" i="28" s="1"/>
  <c r="H98" i="26"/>
  <c r="I16" i="28" s="1"/>
  <c r="G98" i="26"/>
  <c r="H16" i="28" s="1"/>
  <c r="F98" i="26"/>
  <c r="G16" i="28" s="1"/>
  <c r="E98" i="26"/>
  <c r="F16" i="28" s="1"/>
  <c r="D98" i="26"/>
  <c r="E16" i="28" s="1"/>
  <c r="C98" i="26"/>
  <c r="K90" i="26"/>
  <c r="L15" i="28" s="1"/>
  <c r="J90" i="26"/>
  <c r="K15" i="28" s="1"/>
  <c r="I90" i="26"/>
  <c r="J15" i="28" s="1"/>
  <c r="H90" i="26"/>
  <c r="I15" i="28" s="1"/>
  <c r="G90" i="26"/>
  <c r="H15" i="28" s="1"/>
  <c r="F90" i="26"/>
  <c r="G15" i="28" s="1"/>
  <c r="E90" i="26"/>
  <c r="F15" i="28" s="1"/>
  <c r="D90" i="26"/>
  <c r="E15" i="28" s="1"/>
  <c r="C90" i="26"/>
  <c r="D15" i="28" s="1"/>
  <c r="K88" i="26"/>
  <c r="K87" i="26"/>
  <c r="J80" i="26"/>
  <c r="K14" i="28" s="1"/>
  <c r="I80" i="26"/>
  <c r="J14" i="28" s="1"/>
  <c r="H80" i="26"/>
  <c r="I14" i="28" s="1"/>
  <c r="G80" i="26"/>
  <c r="H14" i="28" s="1"/>
  <c r="F80" i="26"/>
  <c r="G14" i="28" s="1"/>
  <c r="E80" i="26"/>
  <c r="F14" i="28" s="1"/>
  <c r="D80" i="26"/>
  <c r="E14" i="28" s="1"/>
  <c r="C80" i="26"/>
  <c r="D14" i="28" s="1"/>
  <c r="K78" i="26"/>
  <c r="K80" i="26" s="1"/>
  <c r="L14" i="28" s="1"/>
  <c r="K75" i="26"/>
  <c r="L13" i="28" s="1"/>
  <c r="J75" i="26"/>
  <c r="K13" i="28" s="1"/>
  <c r="I75" i="26"/>
  <c r="J13" i="28" s="1"/>
  <c r="H75" i="26"/>
  <c r="I13" i="28" s="1"/>
  <c r="G75" i="26"/>
  <c r="H13" i="28" s="1"/>
  <c r="F75" i="26"/>
  <c r="G13" i="28" s="1"/>
  <c r="E75" i="26"/>
  <c r="F13" i="28" s="1"/>
  <c r="D75" i="26"/>
  <c r="E13" i="28" s="1"/>
  <c r="C75" i="26"/>
  <c r="D13" i="28" s="1"/>
  <c r="K73" i="26"/>
  <c r="K72" i="26"/>
  <c r="K71" i="26"/>
  <c r="K70" i="26"/>
  <c r="K69" i="26"/>
  <c r="K68" i="26"/>
  <c r="K67" i="26"/>
  <c r="K66" i="26"/>
  <c r="K65" i="26"/>
  <c r="K64" i="26"/>
  <c r="K63" i="26"/>
  <c r="K59" i="26"/>
  <c r="L12" i="28" s="1"/>
  <c r="J59" i="26"/>
  <c r="K12" i="28" s="1"/>
  <c r="I59" i="26"/>
  <c r="J12" i="28" s="1"/>
  <c r="H59" i="26"/>
  <c r="I12" i="28" s="1"/>
  <c r="G59" i="26"/>
  <c r="H12" i="28" s="1"/>
  <c r="F59" i="26"/>
  <c r="G12" i="28" s="1"/>
  <c r="E59" i="26"/>
  <c r="F12" i="28" s="1"/>
  <c r="D59" i="26"/>
  <c r="E12" i="28" s="1"/>
  <c r="C59" i="26"/>
  <c r="D12" i="28" s="1"/>
  <c r="K58" i="26"/>
  <c r="K57" i="26"/>
  <c r="K56" i="26"/>
  <c r="K55" i="26"/>
  <c r="K54" i="26"/>
  <c r="K53" i="26"/>
  <c r="K52" i="26"/>
  <c r="K51" i="26"/>
  <c r="K50" i="26"/>
  <c r="L11" i="28"/>
  <c r="J47" i="26"/>
  <c r="K11" i="28" s="1"/>
  <c r="I47" i="26"/>
  <c r="J11" i="28" s="1"/>
  <c r="H47" i="26"/>
  <c r="I11" i="28" s="1"/>
  <c r="G47" i="26"/>
  <c r="H11" i="28" s="1"/>
  <c r="F47" i="26"/>
  <c r="G11" i="28" s="1"/>
  <c r="E47" i="26"/>
  <c r="F11" i="28" s="1"/>
  <c r="D47" i="26"/>
  <c r="E11" i="28" s="1"/>
  <c r="C47" i="26"/>
  <c r="D11" i="28" s="1"/>
  <c r="L10" i="28"/>
  <c r="J38" i="26"/>
  <c r="K10" i="28" s="1"/>
  <c r="I38" i="26"/>
  <c r="J10" i="28" s="1"/>
  <c r="H38" i="26"/>
  <c r="I10" i="28" s="1"/>
  <c r="G38" i="26"/>
  <c r="H10" i="28" s="1"/>
  <c r="F38" i="26"/>
  <c r="G10" i="28" s="1"/>
  <c r="E38" i="26"/>
  <c r="F10" i="28" s="1"/>
  <c r="D38" i="26"/>
  <c r="E10" i="28" s="1"/>
  <c r="C38" i="26"/>
  <c r="D10" i="28" s="1"/>
  <c r="J30" i="26"/>
  <c r="K9" i="28" s="1"/>
  <c r="I30" i="26"/>
  <c r="J9" i="28" s="1"/>
  <c r="H30" i="26"/>
  <c r="I9" i="28" s="1"/>
  <c r="G30" i="26"/>
  <c r="H9" i="28" s="1"/>
  <c r="F30" i="26"/>
  <c r="G9" i="28" s="1"/>
  <c r="E30" i="26"/>
  <c r="F9" i="28" s="1"/>
  <c r="D30" i="26"/>
  <c r="E9" i="28" s="1"/>
  <c r="C30" i="26"/>
  <c r="D9" i="28" s="1"/>
  <c r="L8" i="28"/>
  <c r="J22" i="26"/>
  <c r="I22" i="26"/>
  <c r="J8" i="28" s="1"/>
  <c r="H22" i="26"/>
  <c r="I8" i="28" s="1"/>
  <c r="G22" i="26"/>
  <c r="H8" i="28" s="1"/>
  <c r="F22" i="26"/>
  <c r="G8" i="28" s="1"/>
  <c r="E22" i="26"/>
  <c r="F8" i="28" s="1"/>
  <c r="D22" i="26"/>
  <c r="E8" i="28" s="1"/>
  <c r="C22" i="26"/>
  <c r="D8" i="28" s="1"/>
  <c r="J9" i="26"/>
  <c r="K7" i="28" s="1"/>
  <c r="I9" i="26"/>
  <c r="J7" i="28" s="1"/>
  <c r="H9" i="26"/>
  <c r="I7" i="28" s="1"/>
  <c r="G9" i="26"/>
  <c r="H7" i="28" s="1"/>
  <c r="F9" i="26"/>
  <c r="G7" i="28" s="1"/>
  <c r="E9" i="26"/>
  <c r="F7" i="28" s="1"/>
  <c r="D9" i="26"/>
  <c r="E7" i="28" s="1"/>
  <c r="C9" i="26"/>
  <c r="D7" i="28" s="1"/>
  <c r="K9" i="26"/>
  <c r="L7" i="28" s="1"/>
  <c r="N11" i="28" l="1"/>
  <c r="N10" i="28"/>
  <c r="N20" i="28"/>
  <c r="N14" i="28"/>
  <c r="N18" i="28"/>
  <c r="N23" i="28"/>
  <c r="N21" i="28"/>
  <c r="N7" i="28"/>
  <c r="N16" i="28"/>
  <c r="N12" i="28"/>
  <c r="N13" i="28"/>
  <c r="N15" i="28"/>
  <c r="N17" i="28"/>
  <c r="N25" i="28"/>
  <c r="L24" i="28"/>
  <c r="K165" i="26"/>
  <c r="G27" i="28"/>
  <c r="N27" i="28" s="1"/>
  <c r="M200" i="26"/>
  <c r="N26" i="28"/>
  <c r="N9" i="28"/>
  <c r="N22" i="28"/>
  <c r="N19" i="28"/>
  <c r="K8" i="28"/>
  <c r="N8" i="28" s="1"/>
  <c r="M22" i="26"/>
  <c r="D29" i="28"/>
  <c r="E29" i="28"/>
  <c r="F29" i="28"/>
  <c r="H29" i="28"/>
  <c r="I29" i="28"/>
  <c r="J29" i="28"/>
  <c r="G6" i="20"/>
  <c r="G35" i="20"/>
  <c r="H35" i="20" s="1"/>
  <c r="G8" i="20"/>
  <c r="H8" i="20" s="1"/>
  <c r="G34" i="20"/>
  <c r="H34" i="20" s="1"/>
  <c r="G33" i="20"/>
  <c r="H27" i="20"/>
  <c r="H24" i="20"/>
  <c r="H23" i="20"/>
  <c r="H22" i="20"/>
  <c r="H21" i="20"/>
  <c r="G17" i="20"/>
  <c r="H17" i="20" s="1"/>
  <c r="G16" i="20"/>
  <c r="H16" i="20" s="1"/>
  <c r="G15" i="20"/>
  <c r="H15" i="20" s="1"/>
  <c r="G14" i="20"/>
  <c r="H14" i="20" s="1"/>
  <c r="G13" i="20"/>
  <c r="H13" i="20" s="1"/>
  <c r="G12" i="20"/>
  <c r="H12" i="20" s="1"/>
  <c r="G11" i="20"/>
  <c r="H11" i="20" s="1"/>
  <c r="G10" i="20"/>
  <c r="H10" i="20" s="1"/>
  <c r="G9" i="20"/>
  <c r="H9" i="20" s="1"/>
  <c r="G7" i="20"/>
  <c r="H7" i="20" s="1"/>
  <c r="G29" i="28" l="1"/>
  <c r="K29" i="28"/>
  <c r="I25" i="20"/>
  <c r="H6" i="20"/>
  <c r="I18" i="20" s="1"/>
  <c r="I29" i="20"/>
  <c r="H33" i="20"/>
  <c r="I36" i="20" s="1"/>
  <c r="H37" i="20" l="1"/>
  <c r="H80" i="11"/>
  <c r="I79" i="11"/>
  <c r="I71" i="11"/>
  <c r="I62" i="11"/>
  <c r="I51" i="11"/>
  <c r="I31" i="11"/>
  <c r="I23" i="11"/>
  <c r="G78" i="11"/>
  <c r="H78" i="11" s="1"/>
  <c r="G77" i="11"/>
  <c r="H77" i="11" s="1"/>
  <c r="G76" i="11"/>
  <c r="H76" i="11" s="1"/>
  <c r="G75" i="11"/>
  <c r="H75" i="11" s="1"/>
  <c r="G74" i="11"/>
  <c r="H74" i="11" s="1"/>
  <c r="G70" i="11"/>
  <c r="G69" i="11"/>
  <c r="H69" i="11" s="1"/>
  <c r="G68" i="11"/>
  <c r="H68" i="11" s="1"/>
  <c r="G66" i="11"/>
  <c r="H66" i="11" s="1"/>
  <c r="G65" i="11"/>
  <c r="H65" i="11" s="1"/>
  <c r="G60" i="11"/>
  <c r="H60" i="11" s="1"/>
  <c r="G59" i="11"/>
  <c r="H59" i="11" s="1"/>
  <c r="G58" i="11"/>
  <c r="H58" i="11" s="1"/>
  <c r="G57" i="11"/>
  <c r="H57" i="11" s="1"/>
  <c r="G56" i="11"/>
  <c r="G55" i="11"/>
  <c r="H55" i="11" s="1"/>
  <c r="G54" i="11"/>
  <c r="H54" i="11" s="1"/>
  <c r="G50" i="11"/>
  <c r="H50" i="11" s="1"/>
  <c r="G49" i="11"/>
  <c r="H49" i="11" s="1"/>
  <c r="G48" i="11"/>
  <c r="H48" i="11" s="1"/>
  <c r="G47" i="11"/>
  <c r="H47" i="11" s="1"/>
  <c r="G46" i="11"/>
  <c r="H46" i="11" s="1"/>
  <c r="G45" i="11"/>
  <c r="H45" i="11" s="1"/>
  <c r="G44" i="11"/>
  <c r="H44" i="11" s="1"/>
  <c r="G43" i="11"/>
  <c r="H43" i="11" s="1"/>
  <c r="G41" i="11"/>
  <c r="G40" i="11"/>
  <c r="H40" i="11" s="1"/>
  <c r="G39" i="11"/>
  <c r="H39" i="11" s="1"/>
  <c r="G38" i="11"/>
  <c r="G36" i="11"/>
  <c r="G35" i="11"/>
  <c r="G34" i="11"/>
  <c r="G30" i="11"/>
  <c r="H30" i="11" s="1"/>
  <c r="G29" i="11"/>
  <c r="H29" i="11" s="1"/>
  <c r="G28" i="11"/>
  <c r="G27" i="11"/>
  <c r="H27" i="11" s="1"/>
  <c r="G22" i="11"/>
  <c r="H22" i="11" s="1"/>
  <c r="G20" i="11"/>
  <c r="H20" i="11" s="1"/>
  <c r="G19" i="11"/>
  <c r="H19" i="11" s="1"/>
  <c r="G18" i="11"/>
  <c r="H18" i="11" s="1"/>
  <c r="G16" i="11"/>
  <c r="H16" i="11" s="1"/>
  <c r="G15" i="11"/>
  <c r="H15" i="11" s="1"/>
  <c r="H14" i="11"/>
  <c r="G12" i="11"/>
  <c r="H12" i="11" s="1"/>
  <c r="G11" i="11"/>
  <c r="H11" i="11" s="1"/>
  <c r="G10" i="11"/>
  <c r="H10" i="11" s="1"/>
  <c r="G9" i="11"/>
  <c r="H9" i="11" s="1"/>
  <c r="G8" i="11"/>
  <c r="H8" i="11" s="1"/>
  <c r="G7" i="11"/>
  <c r="H7" i="11" s="1"/>
  <c r="G6" i="11"/>
  <c r="H56" i="11" l="1"/>
  <c r="H28" i="11"/>
  <c r="H70" i="11"/>
  <c r="G25" i="4" l="1"/>
  <c r="H25" i="4" s="1"/>
  <c r="G24" i="4"/>
  <c r="H24" i="4" s="1"/>
  <c r="G23" i="4"/>
  <c r="H23" i="4" s="1"/>
  <c r="I27" i="4" s="1"/>
  <c r="G19" i="4"/>
  <c r="H19" i="4" s="1"/>
  <c r="G18" i="4"/>
  <c r="H18" i="4" s="1"/>
  <c r="I20" i="4" s="1"/>
  <c r="G15" i="4"/>
  <c r="H15" i="4" s="1"/>
  <c r="I16" i="4" s="1"/>
  <c r="G10" i="4"/>
  <c r="H10" i="4" s="1"/>
  <c r="I8" i="4"/>
  <c r="G7" i="4"/>
  <c r="H29" i="4" l="1"/>
  <c r="I13" i="4"/>
  <c r="H14" i="15"/>
  <c r="J32" i="5"/>
  <c r="J31" i="5"/>
  <c r="J24" i="5"/>
  <c r="J20" i="5"/>
  <c r="J13" i="5"/>
  <c r="H13" i="27" l="1"/>
  <c r="H9" i="27"/>
  <c r="H8" i="27"/>
  <c r="G13" i="27"/>
  <c r="G12" i="27"/>
  <c r="H12" i="27" s="1"/>
  <c r="H14" i="27" s="1"/>
  <c r="G9" i="27"/>
  <c r="G8" i="27"/>
  <c r="G7" i="27"/>
  <c r="G6" i="27"/>
  <c r="G14" i="27" l="1"/>
  <c r="H34" i="22" l="1"/>
  <c r="H33" i="22"/>
  <c r="H32" i="22"/>
  <c r="H31" i="22"/>
  <c r="H30" i="22"/>
  <c r="H29" i="22"/>
  <c r="H28" i="22"/>
  <c r="H27" i="22"/>
  <c r="H25" i="22"/>
  <c r="H24" i="22"/>
  <c r="H23" i="22"/>
  <c r="H22" i="22"/>
  <c r="H21" i="22"/>
  <c r="H19" i="22"/>
  <c r="H16" i="22"/>
  <c r="H15" i="22"/>
  <c r="H14" i="22"/>
  <c r="H12" i="22"/>
  <c r="H11" i="22"/>
  <c r="H10" i="22"/>
  <c r="H9" i="22"/>
  <c r="H7" i="22"/>
  <c r="H6" i="22"/>
  <c r="H5" i="22"/>
  <c r="I10" i="18"/>
  <c r="I21" i="18"/>
  <c r="I27" i="18"/>
  <c r="I33" i="18"/>
  <c r="K21" i="25"/>
  <c r="K22" i="25" s="1"/>
  <c r="H13" i="25"/>
  <c r="H12" i="25"/>
  <c r="I17" i="15"/>
  <c r="I18" i="14"/>
  <c r="I7" i="14"/>
  <c r="H32" i="14"/>
  <c r="G32" i="13"/>
  <c r="G31" i="13"/>
  <c r="H32" i="13"/>
  <c r="I43" i="13"/>
  <c r="I25" i="13"/>
  <c r="G11" i="13"/>
  <c r="H11" i="13" s="1"/>
  <c r="I12" i="13" s="1"/>
  <c r="H18" i="13"/>
  <c r="F42" i="12"/>
  <c r="G42" i="12" s="1"/>
  <c r="H41" i="12"/>
  <c r="H20" i="12"/>
  <c r="H19" i="12"/>
  <c r="H18" i="12"/>
  <c r="H17" i="12"/>
  <c r="H16" i="12"/>
  <c r="H15" i="12"/>
  <c r="H14" i="12"/>
  <c r="H10" i="12"/>
  <c r="H6" i="12"/>
  <c r="G92" i="9"/>
  <c r="H92" i="9" s="1"/>
  <c r="H71" i="9"/>
  <c r="G64" i="9"/>
  <c r="H64" i="9" s="1"/>
  <c r="F41" i="9"/>
  <c r="G41" i="9" s="1"/>
  <c r="G57" i="8"/>
  <c r="H57" i="8" s="1"/>
  <c r="G56" i="8"/>
  <c r="H56" i="8"/>
  <c r="G52" i="8"/>
  <c r="H52" i="8" s="1"/>
  <c r="G51" i="8"/>
  <c r="H51" i="8" s="1"/>
  <c r="I37" i="8"/>
  <c r="H22" i="8"/>
  <c r="H10" i="5"/>
  <c r="H9" i="5"/>
  <c r="I7" i="3"/>
  <c r="G34" i="1"/>
  <c r="H34" i="1" s="1"/>
  <c r="H18" i="2"/>
  <c r="H15" i="2"/>
  <c r="G9" i="1"/>
  <c r="H9" i="1" s="1"/>
  <c r="E5" i="21"/>
  <c r="E13" i="21"/>
  <c r="D13" i="21"/>
  <c r="E16" i="21"/>
  <c r="E15" i="21"/>
  <c r="E25" i="21"/>
  <c r="D25" i="21"/>
  <c r="E24" i="21"/>
  <c r="D24" i="21"/>
  <c r="E9" i="21"/>
  <c r="D9" i="21"/>
  <c r="E20" i="21"/>
  <c r="D20" i="21"/>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3" i="12"/>
  <c r="H43" i="12" s="1"/>
  <c r="G40" i="12"/>
  <c r="H40" i="12" s="1"/>
  <c r="G36" i="12"/>
  <c r="H36" i="12" s="1"/>
  <c r="I36" i="12" s="1"/>
  <c r="G35" i="12"/>
  <c r="G37" i="12" s="1"/>
  <c r="H37" i="12" s="1"/>
  <c r="I37" i="12" s="1"/>
  <c r="G31" i="12"/>
  <c r="H31" i="12" s="1"/>
  <c r="G30" i="12"/>
  <c r="H30" i="12" s="1"/>
  <c r="G29" i="12"/>
  <c r="H29" i="12" s="1"/>
  <c r="E28" i="12"/>
  <c r="G28" i="12" s="1"/>
  <c r="H28" i="12" s="1"/>
  <c r="G27" i="12"/>
  <c r="H27" i="12" s="1"/>
  <c r="G26" i="12"/>
  <c r="H26" i="12" s="1"/>
  <c r="G25" i="12"/>
  <c r="H25" i="12" s="1"/>
  <c r="G24" i="12"/>
  <c r="H24" i="12" s="1"/>
  <c r="G20" i="12"/>
  <c r="G19" i="12"/>
  <c r="G18" i="12"/>
  <c r="G17" i="12"/>
  <c r="G16" i="12"/>
  <c r="G15" i="12"/>
  <c r="G14" i="12"/>
  <c r="G10" i="12"/>
  <c r="G9" i="12"/>
  <c r="H9" i="12" s="1"/>
  <c r="G8" i="12"/>
  <c r="H8" i="12" s="1"/>
  <c r="G7" i="12"/>
  <c r="H7" i="12" s="1"/>
  <c r="G6" i="12"/>
  <c r="G5" i="12"/>
  <c r="H5" i="12" s="1"/>
  <c r="G27" i="3"/>
  <c r="I27" i="3" s="1"/>
  <c r="G26" i="3"/>
  <c r="I26" i="3" s="1"/>
  <c r="G25" i="3"/>
  <c r="I25" i="3" s="1"/>
  <c r="G20" i="3"/>
  <c r="H20" i="3" s="1"/>
  <c r="G19" i="3"/>
  <c r="H19" i="3" s="1"/>
  <c r="G18" i="3"/>
  <c r="G12" i="3"/>
  <c r="I12" i="3" s="1"/>
  <c r="G11" i="3"/>
  <c r="G10" i="3"/>
  <c r="I10" i="3" s="1"/>
  <c r="G9" i="3"/>
  <c r="I9" i="3" s="1"/>
  <c r="G8" i="3"/>
  <c r="I8" i="3" s="1"/>
  <c r="J21" i="25"/>
  <c r="J22" i="25" s="1"/>
  <c r="J19" i="25"/>
  <c r="J20" i="25" s="1"/>
  <c r="G16" i="25"/>
  <c r="G14" i="25"/>
  <c r="H14" i="25" s="1"/>
  <c r="J7" i="25"/>
  <c r="J6" i="25"/>
  <c r="K6" i="25" s="1"/>
  <c r="F6" i="25" s="1"/>
  <c r="G6" i="25" s="1"/>
  <c r="G24" i="25"/>
  <c r="H24" i="25" s="1"/>
  <c r="G23" i="25"/>
  <c r="H23" i="25" s="1"/>
  <c r="G22" i="25"/>
  <c r="G21" i="25"/>
  <c r="G20" i="25"/>
  <c r="G19" i="25"/>
  <c r="G18" i="25"/>
  <c r="H18" i="25" s="1"/>
  <c r="G17" i="25"/>
  <c r="H17" i="25" s="1"/>
  <c r="G15" i="25"/>
  <c r="H15" i="25" s="1"/>
  <c r="G13" i="25"/>
  <c r="G12" i="25"/>
  <c r="G11" i="25"/>
  <c r="G10" i="25"/>
  <c r="G9" i="25"/>
  <c r="H9" i="25" s="1"/>
  <c r="G8" i="25"/>
  <c r="H8" i="25" s="1"/>
  <c r="G7" i="25"/>
  <c r="G36" i="13"/>
  <c r="H36" i="13" s="1"/>
  <c r="G35" i="13"/>
  <c r="H35" i="13" s="1"/>
  <c r="G34" i="13"/>
  <c r="H34" i="13" s="1"/>
  <c r="G33" i="13"/>
  <c r="G13" i="14"/>
  <c r="N13" i="14"/>
  <c r="O13" i="14" s="1"/>
  <c r="G12" i="14"/>
  <c r="H12" i="14" s="1"/>
  <c r="I14" i="14" s="1"/>
  <c r="N12" i="14"/>
  <c r="O12" i="14" s="1"/>
  <c r="G6" i="14"/>
  <c r="O3" i="14"/>
  <c r="G13" i="8"/>
  <c r="H13" i="8" s="1"/>
  <c r="E12" i="8"/>
  <c r="G12" i="8" s="1"/>
  <c r="H12" i="8" s="1"/>
  <c r="G44" i="8"/>
  <c r="H44" i="8" s="1"/>
  <c r="G43" i="8"/>
  <c r="G40" i="8"/>
  <c r="H40" i="8" s="1"/>
  <c r="G39" i="8"/>
  <c r="H39" i="8" s="1"/>
  <c r="I41" i="8" s="1"/>
  <c r="G36" i="8"/>
  <c r="G35" i="8"/>
  <c r="G32" i="8"/>
  <c r="H32" i="8" s="1"/>
  <c r="G31" i="8"/>
  <c r="H31" i="8" s="1"/>
  <c r="G21" i="8"/>
  <c r="H21" i="8" s="1"/>
  <c r="G20" i="8"/>
  <c r="H20" i="8" s="1"/>
  <c r="G19" i="8"/>
  <c r="H19" i="8" s="1"/>
  <c r="G18" i="8"/>
  <c r="H18" i="8" s="1"/>
  <c r="G17" i="8"/>
  <c r="H17" i="8" s="1"/>
  <c r="G16" i="8"/>
  <c r="G11" i="8"/>
  <c r="H11" i="8" s="1"/>
  <c r="G10" i="8"/>
  <c r="H10" i="8" s="1"/>
  <c r="G9" i="8"/>
  <c r="G8" i="8"/>
  <c r="H8" i="8" s="1"/>
  <c r="G95" i="9"/>
  <c r="H95" i="9" s="1"/>
  <c r="F50" i="9"/>
  <c r="G50" i="9" s="1"/>
  <c r="H50" i="9" s="1"/>
  <c r="E51" i="9"/>
  <c r="F51" i="9" s="1"/>
  <c r="G51" i="9" s="1"/>
  <c r="H51" i="9" s="1"/>
  <c r="F49" i="9"/>
  <c r="F35" i="9"/>
  <c r="J34" i="18"/>
  <c r="N17" i="18"/>
  <c r="M17" i="18"/>
  <c r="M18" i="18"/>
  <c r="G17" i="18"/>
  <c r="K22" i="18"/>
  <c r="L20" i="18"/>
  <c r="K18" i="18"/>
  <c r="K20" i="18" s="1"/>
  <c r="F14" i="18"/>
  <c r="K13" i="18"/>
  <c r="K14" i="18"/>
  <c r="L14" i="18" s="1"/>
  <c r="L13" i="18" s="1"/>
  <c r="G9" i="18"/>
  <c r="J33" i="1"/>
  <c r="G33" i="1"/>
  <c r="H33" i="1" s="1"/>
  <c r="F16" i="1"/>
  <c r="G16" i="1" s="1"/>
  <c r="H16" i="1" s="1"/>
  <c r="H14" i="6"/>
  <c r="G13" i="6"/>
  <c r="H13" i="6" s="1"/>
  <c r="H11" i="6"/>
  <c r="I11" i="6" s="1"/>
  <c r="G10" i="6"/>
  <c r="H10" i="6" s="1"/>
  <c r="I10" i="6" s="1"/>
  <c r="G13" i="9"/>
  <c r="H13" i="9" s="1"/>
  <c r="H15" i="6"/>
  <c r="H12" i="6"/>
  <c r="I12" i="6" s="1"/>
  <c r="H9" i="6"/>
  <c r="D26" i="21" l="1"/>
  <c r="H25" i="25"/>
  <c r="I32" i="12"/>
  <c r="I21" i="12"/>
  <c r="I11" i="12"/>
  <c r="H35" i="12"/>
  <c r="I35" i="12" s="1"/>
  <c r="I45" i="8"/>
  <c r="I16" i="6"/>
  <c r="G16" i="21" s="1"/>
  <c r="I19" i="3"/>
  <c r="I20" i="3"/>
  <c r="E26" i="21"/>
  <c r="O17" i="18"/>
  <c r="P17" i="18" s="1"/>
  <c r="K15" i="18"/>
  <c r="K21" i="18"/>
  <c r="K23" i="18" s="1"/>
  <c r="I37" i="13"/>
  <c r="I44" i="12"/>
  <c r="I58" i="8"/>
  <c r="H59" i="8"/>
  <c r="G6" i="21" s="1"/>
  <c r="I53" i="8"/>
  <c r="I33" i="8"/>
  <c r="I14" i="8"/>
  <c r="I25" i="8"/>
  <c r="H18" i="3"/>
  <c r="H45" i="12" l="1"/>
  <c r="I28" i="3"/>
  <c r="G35" i="1"/>
  <c r="H35" i="1" s="1"/>
  <c r="G32" i="1"/>
  <c r="H32" i="1" s="1"/>
  <c r="G31" i="1"/>
  <c r="H31" i="1" s="1"/>
  <c r="G30" i="1"/>
  <c r="H30" i="1" s="1"/>
  <c r="G29" i="1"/>
  <c r="H29" i="1" s="1"/>
  <c r="G28" i="1"/>
  <c r="G27" i="1"/>
  <c r="G26" i="1"/>
  <c r="H26" i="1" s="1"/>
  <c r="G21" i="1"/>
  <c r="H21" i="1" s="1"/>
  <c r="G20" i="1"/>
  <c r="G17" i="1"/>
  <c r="H17" i="1" s="1"/>
  <c r="G15" i="1"/>
  <c r="H15" i="1" s="1"/>
  <c r="G14" i="1"/>
  <c r="G11" i="1"/>
  <c r="H11" i="1" s="1"/>
  <c r="G10" i="1"/>
  <c r="H10" i="1" s="1"/>
  <c r="G8" i="1"/>
  <c r="H8" i="1" s="1"/>
  <c r="G7" i="1"/>
  <c r="H7" i="1" s="1"/>
  <c r="H27" i="1" l="1"/>
  <c r="H20" i="1"/>
  <c r="H14" i="1"/>
  <c r="G37" i="1"/>
  <c r="G21" i="2"/>
  <c r="H21" i="2" l="1"/>
  <c r="G18" i="21"/>
  <c r="I23" i="2" l="1"/>
  <c r="H40" i="2"/>
  <c r="G30" i="5"/>
  <c r="H30" i="5" s="1"/>
  <c r="G29" i="5"/>
  <c r="H29" i="5" s="1"/>
  <c r="G28" i="5"/>
  <c r="H28" i="5" s="1"/>
  <c r="G27" i="5"/>
  <c r="H27" i="5" s="1"/>
  <c r="G26" i="5"/>
  <c r="H26" i="5" s="1"/>
  <c r="G23" i="5"/>
  <c r="H23" i="5" s="1"/>
  <c r="G22" i="5"/>
  <c r="H22" i="5" s="1"/>
  <c r="I24" i="5" s="1"/>
  <c r="G19" i="5"/>
  <c r="H19" i="5" s="1"/>
  <c r="G18" i="5"/>
  <c r="H18" i="5" s="1"/>
  <c r="G17" i="5"/>
  <c r="H17" i="5" s="1"/>
  <c r="G16" i="5"/>
  <c r="H16" i="5" s="1"/>
  <c r="G15" i="5"/>
  <c r="H15" i="5" s="1"/>
  <c r="G12" i="5"/>
  <c r="H12" i="5" s="1"/>
  <c r="G11" i="5"/>
  <c r="H11" i="5" s="1"/>
  <c r="G8" i="5"/>
  <c r="G7" i="5"/>
  <c r="H7" i="5" s="1"/>
  <c r="I13" i="5" l="1"/>
  <c r="H32" i="5"/>
  <c r="I20" i="5"/>
  <c r="I31" i="5"/>
  <c r="G20" i="5"/>
  <c r="G96" i="9" l="1"/>
  <c r="H96" i="9" s="1"/>
  <c r="G94" i="9"/>
  <c r="G93" i="9"/>
  <c r="H93" i="9" s="1"/>
  <c r="G91" i="9"/>
  <c r="H91" i="9" s="1"/>
  <c r="G86" i="9"/>
  <c r="G83" i="9"/>
  <c r="H83" i="9" s="1"/>
  <c r="G82" i="9"/>
  <c r="H82" i="9" s="1"/>
  <c r="G81" i="9"/>
  <c r="G80" i="9"/>
  <c r="H80" i="9" s="1"/>
  <c r="G79" i="9"/>
  <c r="H79" i="9" s="1"/>
  <c r="G78" i="9"/>
  <c r="G77" i="9"/>
  <c r="H77" i="9" s="1"/>
  <c r="G76" i="9"/>
  <c r="H76" i="9" s="1"/>
  <c r="G75" i="9"/>
  <c r="H75" i="9" s="1"/>
  <c r="G74" i="9"/>
  <c r="H74" i="9" s="1"/>
  <c r="G70" i="9"/>
  <c r="H70" i="9" s="1"/>
  <c r="I72" i="9" s="1"/>
  <c r="G67" i="9"/>
  <c r="H67" i="9" s="1"/>
  <c r="G66" i="9"/>
  <c r="H66" i="9" s="1"/>
  <c r="G65" i="9"/>
  <c r="H65" i="9" s="1"/>
  <c r="G63" i="9"/>
  <c r="H63" i="9" s="1"/>
  <c r="G60" i="9"/>
  <c r="H60" i="9" s="1"/>
  <c r="G59" i="9"/>
  <c r="H59" i="9" s="1"/>
  <c r="G58" i="9"/>
  <c r="H58" i="9" s="1"/>
  <c r="G57" i="9"/>
  <c r="H57" i="9" s="1"/>
  <c r="I61" i="9" s="1"/>
  <c r="G54" i="9"/>
  <c r="G53" i="9"/>
  <c r="H53" i="9" s="1"/>
  <c r="G52" i="9"/>
  <c r="H52" i="9" s="1"/>
  <c r="G49" i="9"/>
  <c r="G48" i="9"/>
  <c r="H48" i="9" s="1"/>
  <c r="G47" i="9"/>
  <c r="G46" i="9"/>
  <c r="H46" i="9" s="1"/>
  <c r="G45" i="9"/>
  <c r="H45" i="9" s="1"/>
  <c r="G44" i="9"/>
  <c r="H44" i="9" s="1"/>
  <c r="H41" i="9"/>
  <c r="G40" i="9"/>
  <c r="G39" i="9"/>
  <c r="H39" i="9" s="1"/>
  <c r="I42" i="9" s="1"/>
  <c r="G36" i="9"/>
  <c r="G35" i="9"/>
  <c r="G34" i="9"/>
  <c r="G33" i="9"/>
  <c r="G32" i="9"/>
  <c r="H32" i="9" s="1"/>
  <c r="G31" i="9"/>
  <c r="H31" i="9" s="1"/>
  <c r="G30" i="9"/>
  <c r="G27" i="9"/>
  <c r="H27" i="9" s="1"/>
  <c r="G26" i="9"/>
  <c r="H26" i="9" s="1"/>
  <c r="G25" i="9"/>
  <c r="H25" i="9" s="1"/>
  <c r="G24" i="9"/>
  <c r="G20" i="9"/>
  <c r="H20" i="9" s="1"/>
  <c r="G19" i="9"/>
  <c r="H19" i="9" s="1"/>
  <c r="G15" i="9"/>
  <c r="H15" i="9" s="1"/>
  <c r="G14" i="9"/>
  <c r="H14" i="9" s="1"/>
  <c r="G12" i="9"/>
  <c r="H12" i="9" s="1"/>
  <c r="G11" i="9"/>
  <c r="H11" i="9" s="1"/>
  <c r="G10" i="9"/>
  <c r="H10" i="9" s="1"/>
  <c r="G9" i="9"/>
  <c r="H9" i="9" s="1"/>
  <c r="G8" i="9"/>
  <c r="H8" i="9" s="1"/>
  <c r="I22" i="9" l="1"/>
  <c r="H94" i="9"/>
  <c r="I37" i="9"/>
  <c r="I98" i="9"/>
  <c r="I68" i="9"/>
  <c r="I84" i="9"/>
  <c r="I16" i="9"/>
  <c r="I28" i="9"/>
  <c r="H86" i="9"/>
  <c r="I89" i="9" s="1"/>
  <c r="I55" i="9"/>
  <c r="G47" i="10"/>
  <c r="H47" i="10" s="1"/>
  <c r="G46" i="10"/>
  <c r="H46" i="10" s="1"/>
  <c r="G45" i="10"/>
  <c r="H45" i="10" s="1"/>
  <c r="G44" i="10"/>
  <c r="H44" i="10" s="1"/>
  <c r="G43" i="10"/>
  <c r="H43" i="10" s="1"/>
  <c r="G42" i="10"/>
  <c r="H42" i="10" s="1"/>
  <c r="I48" i="10" s="1"/>
  <c r="G39" i="10"/>
  <c r="H39" i="10" s="1"/>
  <c r="G38" i="10"/>
  <c r="G37" i="10"/>
  <c r="H37" i="10" s="1"/>
  <c r="G36" i="10"/>
  <c r="H36" i="10" s="1"/>
  <c r="I40" i="10" s="1"/>
  <c r="G33" i="10"/>
  <c r="H33" i="10" s="1"/>
  <c r="G32" i="10"/>
  <c r="H32" i="10" s="1"/>
  <c r="G31" i="10"/>
  <c r="H31" i="10" s="1"/>
  <c r="G30" i="10"/>
  <c r="H30" i="10" s="1"/>
  <c r="G29" i="10"/>
  <c r="H29" i="10" s="1"/>
  <c r="G28" i="10"/>
  <c r="H28" i="10" s="1"/>
  <c r="G27" i="10"/>
  <c r="H27" i="10" s="1"/>
  <c r="G26" i="10"/>
  <c r="H26" i="10" s="1"/>
  <c r="G25" i="10"/>
  <c r="H25" i="10" s="1"/>
  <c r="G24" i="10"/>
  <c r="H24" i="10" s="1"/>
  <c r="G23" i="10"/>
  <c r="H23" i="10" s="1"/>
  <c r="G22" i="10"/>
  <c r="H22" i="10" s="1"/>
  <c r="G21" i="10"/>
  <c r="G20" i="10"/>
  <c r="H20" i="10" s="1"/>
  <c r="G19" i="10"/>
  <c r="H19" i="10" s="1"/>
  <c r="G18" i="10"/>
  <c r="H18" i="10" s="1"/>
  <c r="G17" i="10"/>
  <c r="G16" i="10"/>
  <c r="H16" i="10" s="1"/>
  <c r="G15" i="10"/>
  <c r="H15" i="10" s="1"/>
  <c r="G14" i="10"/>
  <c r="H14" i="10" s="1"/>
  <c r="G13" i="10"/>
  <c r="G12" i="10"/>
  <c r="H12" i="10" s="1"/>
  <c r="G11" i="10"/>
  <c r="G10" i="10"/>
  <c r="G9" i="10"/>
  <c r="G8" i="10"/>
  <c r="H8" i="10" s="1"/>
  <c r="I97" i="9" l="1"/>
  <c r="H49" i="10"/>
  <c r="I34" i="10"/>
  <c r="H98" i="9"/>
  <c r="G19" i="21" s="1"/>
  <c r="G42" i="13"/>
  <c r="G39" i="13"/>
  <c r="H39" i="13" s="1"/>
  <c r="I40" i="13" s="1"/>
  <c r="G28" i="13"/>
  <c r="H28" i="13" s="1"/>
  <c r="G27" i="13"/>
  <c r="G24" i="13"/>
  <c r="G21" i="13"/>
  <c r="H21" i="13" s="1"/>
  <c r="G20" i="13"/>
  <c r="G19" i="13"/>
  <c r="G15" i="13"/>
  <c r="H15" i="13" s="1"/>
  <c r="G14" i="13"/>
  <c r="H14" i="13" s="1"/>
  <c r="I16" i="13" s="1"/>
  <c r="G8" i="13"/>
  <c r="H8" i="13" s="1"/>
  <c r="I9" i="13" l="1"/>
  <c r="H19" i="13"/>
  <c r="I22" i="13" s="1"/>
  <c r="H29" i="13"/>
  <c r="H27" i="13"/>
  <c r="G48" i="14"/>
  <c r="H48" i="14" s="1"/>
  <c r="I49" i="14" s="1"/>
  <c r="G45" i="14"/>
  <c r="H45" i="14" s="1"/>
  <c r="I46" i="14" s="1"/>
  <c r="G42" i="14"/>
  <c r="H42" i="14" s="1"/>
  <c r="I43" i="14" s="1"/>
  <c r="G39" i="14"/>
  <c r="H39" i="14" s="1"/>
  <c r="G38" i="14"/>
  <c r="G37" i="14"/>
  <c r="G36" i="14"/>
  <c r="G35" i="14"/>
  <c r="H35" i="14" s="1"/>
  <c r="G31" i="14"/>
  <c r="H31" i="14" s="1"/>
  <c r="I33" i="14" s="1"/>
  <c r="G28" i="14"/>
  <c r="G27" i="14"/>
  <c r="H27" i="14" s="1"/>
  <c r="G26" i="14"/>
  <c r="H26" i="14" s="1"/>
  <c r="I29" i="14" s="1"/>
  <c r="G25" i="14"/>
  <c r="G22" i="14"/>
  <c r="H22" i="14" s="1"/>
  <c r="G21" i="14"/>
  <c r="G20" i="14"/>
  <c r="G17" i="14"/>
  <c r="G16" i="14"/>
  <c r="G9" i="14"/>
  <c r="H9" i="14" s="1"/>
  <c r="I10" i="14" l="1"/>
  <c r="H38" i="14"/>
  <c r="I40" i="14" s="1"/>
  <c r="H21" i="14"/>
  <c r="I23" i="14" s="1"/>
  <c r="I29" i="13"/>
  <c r="H44" i="13"/>
  <c r="G32" i="15"/>
  <c r="H32" i="15" s="1"/>
  <c r="G29" i="15"/>
  <c r="G28" i="15"/>
  <c r="H28" i="15" s="1"/>
  <c r="I31" i="15" s="1"/>
  <c r="G26" i="15"/>
  <c r="H26" i="15" s="1"/>
  <c r="G25" i="15"/>
  <c r="H25" i="15" s="1"/>
  <c r="I27" i="15" s="1"/>
  <c r="G23" i="15"/>
  <c r="H23" i="15" s="1"/>
  <c r="G22" i="15"/>
  <c r="H22" i="15" s="1"/>
  <c r="G21" i="15"/>
  <c r="G20" i="15"/>
  <c r="G19" i="15"/>
  <c r="H19" i="15" s="1"/>
  <c r="G18" i="15"/>
  <c r="H18" i="15" s="1"/>
  <c r="I24" i="15" s="1"/>
  <c r="G16" i="15"/>
  <c r="G14" i="15"/>
  <c r="G13" i="15"/>
  <c r="H13" i="15" s="1"/>
  <c r="G12" i="15"/>
  <c r="H12" i="15" s="1"/>
  <c r="I15" i="15" s="1"/>
  <c r="G10" i="15"/>
  <c r="H10" i="15" s="1"/>
  <c r="G9" i="15"/>
  <c r="H9" i="15" s="1"/>
  <c r="G8" i="15"/>
  <c r="H8" i="15" s="1"/>
  <c r="G7" i="15"/>
  <c r="H7" i="15" s="1"/>
  <c r="I11" i="15" l="1"/>
  <c r="I33" i="15"/>
  <c r="H34" i="15"/>
  <c r="G5" i="21" s="1"/>
  <c r="H50" i="14"/>
  <c r="G29" i="16"/>
  <c r="H29" i="16" s="1"/>
  <c r="I30" i="16" s="1"/>
  <c r="G28" i="16"/>
  <c r="G27" i="16"/>
  <c r="G24" i="16"/>
  <c r="H24" i="16" s="1"/>
  <c r="G20" i="16"/>
  <c r="H20" i="16" s="1"/>
  <c r="G19" i="16"/>
  <c r="H19" i="16" s="1"/>
  <c r="G18" i="16"/>
  <c r="H18" i="16" s="1"/>
  <c r="G17" i="16"/>
  <c r="H17" i="16" s="1"/>
  <c r="G16" i="16"/>
  <c r="H16" i="16" s="1"/>
  <c r="G15" i="16"/>
  <c r="H15" i="16" s="1"/>
  <c r="G14" i="16"/>
  <c r="H14" i="16" s="1"/>
  <c r="G13" i="16"/>
  <c r="G12" i="16"/>
  <c r="G11" i="16"/>
  <c r="G10" i="16"/>
  <c r="H10" i="16" s="1"/>
  <c r="G9" i="16"/>
  <c r="H9" i="16" s="1"/>
  <c r="G8" i="16"/>
  <c r="H8" i="16" s="1"/>
  <c r="I25" i="16" s="1"/>
  <c r="G7" i="16"/>
  <c r="H34" i="16" l="1"/>
  <c r="G32" i="18"/>
  <c r="H32" i="18" s="1"/>
  <c r="G30" i="18"/>
  <c r="G26" i="18"/>
  <c r="H26" i="18" s="1"/>
  <c r="G25" i="18"/>
  <c r="H25" i="18" s="1"/>
  <c r="G24" i="18"/>
  <c r="G20" i="18"/>
  <c r="H20" i="18" s="1"/>
  <c r="G19" i="18"/>
  <c r="G18" i="18"/>
  <c r="G16" i="18"/>
  <c r="H16" i="18" s="1"/>
  <c r="H15" i="18"/>
  <c r="G14" i="18"/>
  <c r="H14" i="18" s="1"/>
  <c r="G13" i="18"/>
  <c r="G8" i="18"/>
  <c r="H8" i="18" s="1"/>
  <c r="G7" i="18"/>
  <c r="H7" i="18" s="1"/>
  <c r="G6" i="18"/>
  <c r="H6" i="18" s="1"/>
  <c r="H34" i="18" l="1"/>
  <c r="H13" i="18"/>
  <c r="H24" i="18"/>
  <c r="H30" i="18"/>
  <c r="G69" i="19"/>
  <c r="H69" i="19" s="1"/>
  <c r="G68" i="19"/>
  <c r="H68" i="19" s="1"/>
  <c r="G67" i="19"/>
  <c r="H67" i="19" s="1"/>
  <c r="G66" i="19"/>
  <c r="H66" i="19" s="1"/>
  <c r="G65" i="19"/>
  <c r="G64" i="19"/>
  <c r="G63" i="19"/>
  <c r="H63" i="19" s="1"/>
  <c r="G62" i="19"/>
  <c r="H62" i="19" s="1"/>
  <c r="G61" i="19"/>
  <c r="H61" i="19" s="1"/>
  <c r="G56" i="19"/>
  <c r="H56" i="19" s="1"/>
  <c r="G55" i="19"/>
  <c r="H55" i="19" s="1"/>
  <c r="G54" i="19"/>
  <c r="H54" i="19" s="1"/>
  <c r="G53" i="19"/>
  <c r="G49" i="19"/>
  <c r="G48" i="19"/>
  <c r="H48" i="19" s="1"/>
  <c r="G47" i="19"/>
  <c r="H47" i="19" s="1"/>
  <c r="G46" i="19"/>
  <c r="G45" i="19"/>
  <c r="G43" i="19"/>
  <c r="G42" i="19"/>
  <c r="H42" i="19" s="1"/>
  <c r="G41" i="19"/>
  <c r="H41" i="19" s="1"/>
  <c r="G40" i="19"/>
  <c r="H40" i="19" s="1"/>
  <c r="G39" i="19"/>
  <c r="H38" i="19"/>
  <c r="G37" i="19"/>
  <c r="H37" i="19" s="1"/>
  <c r="G36" i="19"/>
  <c r="H36" i="19" s="1"/>
  <c r="G35" i="19"/>
  <c r="G34" i="19"/>
  <c r="H34" i="19" s="1"/>
  <c r="G33" i="19"/>
  <c r="H33" i="19" s="1"/>
  <c r="G28" i="19"/>
  <c r="H28" i="19" s="1"/>
  <c r="G27" i="19"/>
  <c r="G26" i="19"/>
  <c r="H26" i="19" s="1"/>
  <c r="I29" i="19" s="1"/>
  <c r="G22" i="19"/>
  <c r="H22" i="19" s="1"/>
  <c r="G21" i="19"/>
  <c r="H21" i="19" s="1"/>
  <c r="G20" i="19"/>
  <c r="H20" i="19" s="1"/>
  <c r="G19" i="19"/>
  <c r="H19" i="19" s="1"/>
  <c r="G18" i="19"/>
  <c r="H18" i="19" s="1"/>
  <c r="G17" i="19"/>
  <c r="H17" i="19" s="1"/>
  <c r="G16" i="19"/>
  <c r="G12" i="19"/>
  <c r="G11" i="19"/>
  <c r="G10" i="19"/>
  <c r="H10" i="19" s="1"/>
  <c r="G9" i="19"/>
  <c r="H9" i="19" s="1"/>
  <c r="G8" i="19"/>
  <c r="H8" i="19" s="1"/>
  <c r="G7" i="19"/>
  <c r="G6" i="19"/>
  <c r="H6" i="19" s="1"/>
  <c r="K30" i="26" l="1"/>
  <c r="L9" i="28" s="1"/>
  <c r="L29" i="28" s="1"/>
  <c r="G7" i="21"/>
  <c r="H71" i="19"/>
  <c r="I70" i="19"/>
  <c r="I50" i="19"/>
  <c r="I13" i="19"/>
  <c r="I23" i="19"/>
  <c r="H53" i="19"/>
  <c r="I57" i="19" s="1"/>
  <c r="G26"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COMMERCE</author>
  </authors>
  <commentList>
    <comment ref="J16" authorId="0" shapeId="0" xr:uid="{809E353A-22E6-4989-8B69-C39639611614}">
      <text>
        <r>
          <rPr>
            <b/>
            <sz val="9"/>
            <color indexed="81"/>
            <rFont val="Tahoma"/>
            <family val="2"/>
          </rPr>
          <t>COMMERCE:</t>
        </r>
        <r>
          <rPr>
            <sz val="9"/>
            <color indexed="81"/>
            <rFont val="Tahoma"/>
            <family val="2"/>
          </rPr>
          <t xml:space="preserve">
N 90,000,000.00 were paid on 18/07/2024 the payment receipt available for varification</t>
        </r>
      </text>
    </comment>
    <comment ref="N16" authorId="0" shapeId="0" xr:uid="{FFA68CE1-3576-4E74-8CBB-EC8F52265E26}">
      <text>
        <r>
          <rPr>
            <b/>
            <sz val="9"/>
            <color indexed="81"/>
            <rFont val="Tahoma"/>
            <family val="2"/>
          </rPr>
          <t>COMMERCE:</t>
        </r>
        <r>
          <rPr>
            <sz val="9"/>
            <color indexed="81"/>
            <rFont val="Tahoma"/>
            <family val="2"/>
          </rPr>
          <t xml:space="preserve">
</t>
        </r>
      </text>
    </comment>
    <comment ref="I21" authorId="0" shapeId="0" xr:uid="{A7F8473F-1328-49E3-8DEC-F26DC8873EA8}">
      <text>
        <r>
          <rPr>
            <b/>
            <sz val="9"/>
            <color indexed="81"/>
            <rFont val="Tahoma"/>
            <family val="2"/>
          </rPr>
          <t>COMMERCE:</t>
        </r>
        <r>
          <rPr>
            <sz val="9"/>
            <color indexed="81"/>
            <rFont val="Tahoma"/>
            <family val="2"/>
          </rPr>
          <t xml:space="preserve">
through out 2024 there is no any FDI</t>
        </r>
      </text>
    </comment>
    <comment ref="J35" authorId="0" shapeId="0" xr:uid="{A7EA99F6-950B-46B0-B550-677AB1ADC9F2}">
      <text>
        <r>
          <rPr>
            <b/>
            <sz val="9"/>
            <color indexed="81"/>
            <rFont val="Tahoma"/>
            <family val="2"/>
          </rPr>
          <t>COMMERCE:</t>
        </r>
        <r>
          <rPr>
            <sz val="9"/>
            <color indexed="81"/>
            <rFont val="Tahoma"/>
            <family val="2"/>
          </rPr>
          <t xml:space="preserve">
attendance sheet sheets for the workshops is with BOI but we will try to provide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tc={83607E48-51CE-4B9D-AA66-23C39D776A9A}</author>
  </authors>
  <commentList>
    <comment ref="F24" authorId="0" shapeId="0" xr:uid="{83607E48-51CE-4B9D-AA66-23C39D776A9A}">
      <text>
        <t>[Threaded comment]
Your version of Excel allows you to read this threaded comment; however, any edits to it will get removed if the file is opened in a newer version of Excel. Learn more: https://go.microsoft.com/fwlink/?linkid=870924
Comment:
    To provide the actual figure and the list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8" authorId="0" shapeId="0" xr:uid="{48CFA53A-59EA-49BE-8B39-E7EC099156AE}">
      <text>
        <r>
          <rPr>
            <sz val="11"/>
            <color indexed="8"/>
            <rFont val="Calibri"/>
            <family val="2"/>
          </rPr>
          <t xml:space="preserve">[Threaded comment]
Your version of Excel allows you to read this threaded comment; however, any edits to it will get removed if the file is opened in a newer version of Excel. Learn more: https://go.microsoft.com/fwlink/?linkid=870924
Comment:
    The commitment is referring to administration &amp; governance apart from admission. The 2numbers of platform developed are they functional and have they being adopted.  
Reply:
    Also we need to see evidences of development and adoption. </t>
        </r>
      </text>
    </comment>
    <comment ref="I11" authorId="0" shapeId="0" xr:uid="{0F8D3235-1188-413E-808B-CEA20A930955}">
      <text>
        <r>
          <rPr>
            <sz val="11"/>
            <color indexed="8"/>
            <rFont val="Calibri"/>
            <family val="2"/>
          </rPr>
          <t xml:space="preserve">[Threaded comment]
Your version of Excel allows you to read this threaded comment; however, any edits to it will get removed if the file is opened in a newer version of Excel. Learn more: https://go.microsoft.com/fwlink/?linkid=870924
Comment:
    Here the commitment is referring data base to capture all schools in the state not some. May I suggest to have number of specific schools of LGAs. Therefore, can we reassess the scores.  </t>
        </r>
      </text>
    </comment>
    <comment ref="I14" authorId="0" shapeId="0" xr:uid="{F818332F-B184-4D93-AC96-D4CF545B58D6}">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Kindly correct the baseline on % fo OOOSC in primary to 43.9 and % of OOSC in JSS to 52.5</t>
        </r>
      </text>
    </comment>
    <comment ref="I18" authorId="0" shapeId="0" xr:uid="{E859A167-B485-4362-AF78-99BE5F70A096}">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This doesn’t make sense. What we need to see here is the reasons for non performance.</t>
        </r>
      </text>
    </comment>
    <comment ref="I19" authorId="0" shapeId="0" xr:uid="{959178DA-1530-40F9-9558-9E9F9EB2B8E0}">
      <text>
        <r>
          <rPr>
            <sz val="11"/>
            <color indexed="8"/>
            <rFont val="Calibri"/>
            <family val="2"/>
          </rPr>
          <t>[Threaded comment]
Your version of Excel allows you to read this threaded comment; however, any edits to it will get removed if the file is opened in a newer version of Excel. Learn more: https://go.microsoft.com/fwlink/?linkid=870924
Comment:
    This doesn’t make sense. What we need to see here is the reasons for non performance.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9" authorId="0" shapeId="0" xr:uid="{870E5FC7-FD3E-463F-B063-1E9412648780}">
      <text>
        <r>
          <rPr>
            <b/>
            <sz val="9"/>
            <color indexed="81"/>
            <rFont val="Tahoma"/>
            <family val="2"/>
          </rPr>
          <t>USER:</t>
        </r>
        <r>
          <rPr>
            <sz val="9"/>
            <color indexed="81"/>
            <rFont val="Tahoma"/>
            <family val="2"/>
          </rPr>
          <t xml:space="preserve">
evidence to be provided later.</t>
        </r>
      </text>
    </comment>
    <comment ref="I30" authorId="0" shapeId="0" xr:uid="{DC914EBB-DDC7-49E0-AF96-28A72E77C3D5}">
      <text>
        <r>
          <rPr>
            <b/>
            <sz val="9"/>
            <color indexed="81"/>
            <rFont val="Tahoma"/>
            <family val="2"/>
          </rPr>
          <t>USER:</t>
        </r>
        <r>
          <rPr>
            <sz val="9"/>
            <color indexed="81"/>
            <rFont val="Tahoma"/>
            <family val="2"/>
          </rPr>
          <t xml:space="preserve">
Evidence will be provided later. </t>
        </r>
      </text>
    </comment>
    <comment ref="I32" authorId="0" shapeId="0" xr:uid="{0095DADA-11DA-411A-B03F-CA3C8DCB1129}">
      <text>
        <r>
          <rPr>
            <b/>
            <sz val="9"/>
            <color indexed="81"/>
            <rFont val="Tahoma"/>
            <family val="2"/>
          </rPr>
          <t>USER:</t>
        </r>
        <r>
          <rPr>
            <sz val="9"/>
            <color indexed="81"/>
            <rFont val="Tahoma"/>
            <family val="2"/>
          </rPr>
          <t xml:space="preserve">
Update will be provided later. </t>
        </r>
      </text>
    </comment>
  </commentList>
</comments>
</file>

<file path=xl/sharedStrings.xml><?xml version="1.0" encoding="utf-8"?>
<sst xmlns="http://schemas.openxmlformats.org/spreadsheetml/2006/main" count="2331" uniqueCount="1611">
  <si>
    <t>DELIVERY PERFORMANCE MANAGEMENT FRAMEWORK</t>
  </si>
  <si>
    <t>Commitment 1: Take appropriate proactive measures to address some critical areas of enironmental degradation.</t>
  </si>
  <si>
    <t>No. of Ops</t>
  </si>
  <si>
    <t>Output Deliverable</t>
  </si>
  <si>
    <t>Output KPIs</t>
  </si>
  <si>
    <t>Result No.</t>
  </si>
  <si>
    <t>2024 Target</t>
  </si>
  <si>
    <t>Jan - Dec Results</t>
  </si>
  <si>
    <t>Performance Score (%)</t>
  </si>
  <si>
    <t>Evidence / Remarks</t>
  </si>
  <si>
    <t>Environmental and social impact assessment on projects awarded</t>
  </si>
  <si>
    <t>Number of projects where environmental and social impact assessment is conducted</t>
  </si>
  <si>
    <t>Kwazalewa, Todarya, Bulangu, Shagari Kazaure, Gora, Mamudawa, Railway</t>
  </si>
  <si>
    <t>Minimize occurance of flooding in the state</t>
  </si>
  <si>
    <t>kms of drainages constructed</t>
  </si>
  <si>
    <t>Pictural view of drainages constructed at some LGAs in the state.</t>
  </si>
  <si>
    <t>Number of km square of eroded land reclaimed</t>
  </si>
  <si>
    <t>Minimize the menace of gully erosion</t>
  </si>
  <si>
    <t xml:space="preserve">Number of eroded land reclaimed </t>
  </si>
  <si>
    <t>Pictural view of eroded land reclaimed</t>
  </si>
  <si>
    <t>River embarkment and desilting</t>
  </si>
  <si>
    <t>Kilometers of rivers channels desilted (dual)</t>
  </si>
  <si>
    <t xml:space="preserve">Pictural view of  Machine work </t>
  </si>
  <si>
    <t>Kilometers of river embarked</t>
  </si>
  <si>
    <t>Baturiya town, Karnaya, Harbo, Kiri Taura, Gandun Kadir Auyo, Gandu, Kozumo, Tage Gabas and Ajaura.</t>
  </si>
  <si>
    <t>Performance</t>
  </si>
  <si>
    <t>commitment 2:  Take action to address desert encroachment and improved vegetation cover</t>
  </si>
  <si>
    <t>Increase access to seedlings for planting by the general public</t>
  </si>
  <si>
    <t xml:space="preserve">Number of seedlings raised and distributed for planting </t>
  </si>
  <si>
    <t>Raising and distribution of tree seedlings across the 27 forest nurseries in the state</t>
  </si>
  <si>
    <t>Increased green cover in the State</t>
  </si>
  <si>
    <t>Number of hecter of land covered through annual tree planting campaign</t>
  </si>
  <si>
    <t>Pictural view of land covered</t>
  </si>
  <si>
    <t>Increased the kilometer of land covered by wind breakers</t>
  </si>
  <si>
    <t>Kilometers of land covered by wind breakers (shelterbelt)</t>
  </si>
  <si>
    <t xml:space="preserve">Pictural view of shelterbelt </t>
  </si>
  <si>
    <t>Increased Sand-dunes fixation</t>
  </si>
  <si>
    <t xml:space="preserve">Kilometres of land stabilized from sand-dunes  </t>
  </si>
  <si>
    <t>Increase the vegetation covers in hecters with industrial crops (Date palm)</t>
  </si>
  <si>
    <t>Hectares of vegetation covered with industrial crops  e.g Gum Arabic, Mango, Jatropha, Date palm etc.</t>
  </si>
  <si>
    <t>Pictural view</t>
  </si>
  <si>
    <t>Road side trees planted</t>
  </si>
  <si>
    <t>Number of road side trees planted to mitigate carbon emission</t>
  </si>
  <si>
    <t>Natural Tree regenaration</t>
  </si>
  <si>
    <t>Hectares of land reforested through natural tree regeneration</t>
  </si>
  <si>
    <t>Commitment 3: Mobilize and Leverage on External Support from Development Partners to address issues on Environmental Sustainability including  Climate Change (These include World Bank Assisted Projects, FGN Supported Great Green World Projects etc</t>
  </si>
  <si>
    <t>Protective measures taken to access intervention from the National Ecological fund to address environmental issues</t>
  </si>
  <si>
    <t>Number of new external interventions (National Ecological fund, NAGGW, World Bank, etc)</t>
  </si>
  <si>
    <t xml:space="preserve">NAGGW project </t>
  </si>
  <si>
    <t>Percentage of Funds Mobilized Relative the amounts in the Approved Budget.</t>
  </si>
  <si>
    <t>Progress on the Implementation of ACReSAL Project</t>
  </si>
  <si>
    <t>Implementation</t>
  </si>
  <si>
    <t>Increased solid waste evacuated annually</t>
  </si>
  <si>
    <t xml:space="preserve">Tonnes of solid waste evacuated annually </t>
  </si>
  <si>
    <t>Check 1st to 4th quarter reports and pictures as attached</t>
  </si>
  <si>
    <t>Increased feacal sludge treatment and evacuation</t>
  </si>
  <si>
    <t xml:space="preserve">Litres of treated feacal sludge evacuated </t>
  </si>
  <si>
    <t>Check 11-4th quarter reports and pictures as attached</t>
  </si>
  <si>
    <t>Increased number of waste collection points in the State</t>
  </si>
  <si>
    <t>Number of new refuse collection points established in the State</t>
  </si>
  <si>
    <t xml:space="preserve">Final refuse dump collection site established </t>
  </si>
  <si>
    <t>Number of refuse dump collection site established</t>
  </si>
  <si>
    <t>One established at each LGA excluding Dutse</t>
  </si>
  <si>
    <t xml:space="preserve">Increased number of refuse incenarators in secondary health facilities </t>
  </si>
  <si>
    <t>Number of refuse incenarators constructed in secondary health facilities</t>
  </si>
  <si>
    <t>Ongoing</t>
  </si>
  <si>
    <t>Use of Mobile toilet introduced in the State</t>
  </si>
  <si>
    <t>Number of mobile toilets in the State</t>
  </si>
  <si>
    <t xml:space="preserve">H.E's approval granted awaits fund released from Finance </t>
  </si>
  <si>
    <t>Increased kilometer of existing drainages desilted</t>
  </si>
  <si>
    <t>kilometer of existing drainages desilted</t>
  </si>
  <si>
    <r>
      <t xml:space="preserve">We have desilted Hdj (35), Rng (15), Tur (10), Jhn(7), Mig(4) </t>
    </r>
    <r>
      <rPr>
        <sz val="12"/>
        <color theme="1"/>
        <rFont val="Calibri"/>
        <family val="2"/>
      </rPr>
      <t>As a result of desilting of 9 flood high risk LGA ongoing)</t>
    </r>
  </si>
  <si>
    <t>Increased the kilometer of drainages repaired in the State</t>
  </si>
  <si>
    <t>kilometer of drainages repaired in the State</t>
  </si>
  <si>
    <t>Increased proportion of household sanitation and hygiene</t>
  </si>
  <si>
    <t>Percentage of household with toilets covered and hand washing facilities</t>
  </si>
  <si>
    <t>We have conducted mass awareness campaign as a result of floods and cholera outbreak with in collaboration with RUWASA and LGA teams.</t>
  </si>
  <si>
    <t>Increased proportion of market Sanitary Inspection across the State</t>
  </si>
  <si>
    <t>Number of Sanitary Inspections conducted in  markets.</t>
  </si>
  <si>
    <r>
      <t>JISEPA 1st, 2nd, 3rd and 4th quarter reports</t>
    </r>
    <r>
      <rPr>
        <sz val="12"/>
        <color theme="1"/>
        <rFont val="Calibri"/>
        <family val="2"/>
      </rPr>
      <t xml:space="preserve"> as attached herewith</t>
    </r>
  </si>
  <si>
    <t>Increased number of community environmental health awareness and sensitization conducted</t>
  </si>
  <si>
    <t>Number of community Environmental health awareness conducted</t>
  </si>
  <si>
    <t>improved quality of air, water and food hygiene</t>
  </si>
  <si>
    <t>Air quality index</t>
  </si>
  <si>
    <t>Number of water vendors and Sachette water inspected</t>
  </si>
  <si>
    <t>Number of food premises/vendors Sanitary  inspected</t>
  </si>
  <si>
    <t>Number of House to House Sanitary inspection Conducted</t>
  </si>
  <si>
    <r>
      <t>JISEPA 1st, 2nd, 3rd and 4th quarter reports</t>
    </r>
    <r>
      <rPr>
        <sz val="12"/>
        <color theme="1"/>
        <rFont val="Calibri"/>
        <family val="2"/>
      </rPr>
      <t xml:space="preserve"> The activty was conducted in collaboration with LGA Sanitary Inspectors, Students on practicum, Corp members etc</t>
    </r>
  </si>
  <si>
    <t>Public health vector outdoor control strengthened</t>
  </si>
  <si>
    <t>Area covered with public health vector outdoor control measures (sqkm)</t>
  </si>
  <si>
    <r>
      <t>JISEPA 1sts and 2nd quarter report (</t>
    </r>
    <r>
      <rPr>
        <sz val="12"/>
        <color theme="1"/>
        <rFont val="Calibri"/>
        <family val="2"/>
      </rPr>
      <t>19 state constituencies fumigatedin the 3rd quarter alone)</t>
    </r>
  </si>
  <si>
    <t>Enactment and Passage of Jigawa State Public Health Security Laws</t>
  </si>
  <si>
    <t>Implementation/Enforcement of the Provisions of the laws</t>
  </si>
  <si>
    <t>These are cases as a result of JISEPA &amp; public health law violations treated at zonal ofices, Police, NSCDC and courts as reported in quarterly reports as attached.</t>
  </si>
  <si>
    <t xml:space="preserve">Commitment 5: Pusuit of initiative the adverse affects of Climate Change on Environmental Sustainability </t>
  </si>
  <si>
    <t xml:space="preserve">Nature based solution to mitigate climate change issues </t>
  </si>
  <si>
    <t>Number of hunters stopped from hunting through alternative means of livelihood</t>
  </si>
  <si>
    <t>Rainy season, people are engaged to their farms and water takes-over the area.</t>
  </si>
  <si>
    <t>Percentage of illegal tree fellers stopped from logging through alternative means of livelihood</t>
  </si>
  <si>
    <t>people are busy in their farms and water takes-over the wetlands.</t>
  </si>
  <si>
    <t>Percentage of fisherment using chemicals stopped by provising finshing gears</t>
  </si>
  <si>
    <t>high volume of water and increasing awareness and education</t>
  </si>
  <si>
    <t>Decrease proportion of trees felling across the state.</t>
  </si>
  <si>
    <t>Percentage of illegal tree fellers prevented</t>
  </si>
  <si>
    <t>Increasing awareness and education, tracking and prosecution of offenders</t>
  </si>
  <si>
    <t>Commitment 6: Pursuit of initiatives to promote Nature Conservation for the protection of the flora and fauna of the environment.</t>
  </si>
  <si>
    <t>Expected Output Deliverables and Performance Measurement</t>
  </si>
  <si>
    <t>Games and forest reserve protected from encroachment</t>
  </si>
  <si>
    <t>Number of games reserve protected from encroachment</t>
  </si>
  <si>
    <t>Number of forest reserve protected from encroachment</t>
  </si>
  <si>
    <t>in progress (evidence attached)</t>
  </si>
  <si>
    <t>Increased number of Game reserve in the State</t>
  </si>
  <si>
    <t>Number of new game reserve established</t>
  </si>
  <si>
    <t>Dabar Magini and Adiyani</t>
  </si>
  <si>
    <t>Protection of aquatic eco-system</t>
  </si>
  <si>
    <t xml:space="preserve">Percentage of illegal fishing gears interrupted </t>
  </si>
  <si>
    <t>The fishermen spend more time in their farm and less or no time on fishing (see evidence attached)</t>
  </si>
  <si>
    <t xml:space="preserve">Percentage of illegal hunting of birds interrupted </t>
  </si>
  <si>
    <t>high volume of water across the reserve.</t>
  </si>
  <si>
    <t xml:space="preserve">Percentage of illegal hunting of frog interrupted </t>
  </si>
  <si>
    <t>Due to rainy season, Frog population is high every where ( evidence attached)</t>
  </si>
  <si>
    <t>Illegal pollution of wetland by use of chemical interrupted</t>
  </si>
  <si>
    <t>Oasis rehabilitation</t>
  </si>
  <si>
    <t>Number of oasis rehabilitated</t>
  </si>
  <si>
    <t>Zoological garden established</t>
  </si>
  <si>
    <t>Number of zoological garden established</t>
  </si>
  <si>
    <t>Commitment 1: Development of comprehensive Geographic Information System for more effective Land Administration in the State</t>
  </si>
  <si>
    <t>Evidences</t>
  </si>
  <si>
    <t>Proportion of all available land files that have been digitalized</t>
  </si>
  <si>
    <t>Proportion of existing survey plans that have been digitalized</t>
  </si>
  <si>
    <t>Government policy on lands Administration and Management developed</t>
  </si>
  <si>
    <t>Progress in formulation of policy on land administration and management</t>
  </si>
  <si>
    <t>Status  of implememtation of the land administration policy statement in the newly developed state policy on land administration and management</t>
  </si>
  <si>
    <t>Land information system that will ensure easy access to land-related data established on all parcels of land in the state towards easing the preparation of Certificates of occupancy on Government land at all levels owned by individuals and corporate bodies</t>
  </si>
  <si>
    <t>Length of time in preparation of CofO for residential land, industrial, commercial and agricultural for  individuals and corporate bodies, after all necessary commitment by applicant are made, where applicable.(in weeks)</t>
  </si>
  <si>
    <t>Length of time in preparation of institutional letter of grant (in weeks)</t>
  </si>
  <si>
    <t>File storage system centralised and consolidated, (existing title documents secured and archived into a database that will ensure proper indexing of the documents)</t>
  </si>
  <si>
    <t>Proportion of existing survey files digitized</t>
  </si>
  <si>
    <t>Proportion of existing analogue land certificates re-certified</t>
  </si>
  <si>
    <t>Commitment 2: Implementation of Mass Housing Program (including in collaboration with private sector)  to reducing Housing Deficit in the State Capital and other Major Urban Centers in the State</t>
  </si>
  <si>
    <t>Access to affordable Housing for the public increased</t>
  </si>
  <si>
    <t>Percentage completion of construction of 1500 Housing unit across the state achieved</t>
  </si>
  <si>
    <t xml:space="preserve">Rules and Regulations to Safeguard Homebuyers and Tenants strengthened </t>
  </si>
  <si>
    <t xml:space="preserve">Percentage of progress in formalating Law of safequarding tenant. </t>
  </si>
  <si>
    <t>Urban housing scheme in other urban areas outside Dutse increased through PPP and additional medium 2-bedroom and 3-bedroom housing built to accommodate the inflow of people into the state capital</t>
  </si>
  <si>
    <t>Number of additional houses built by private developers in other urban areas in the state.</t>
  </si>
  <si>
    <t>All Government policies on Housing formulated, implemented and evaluated</t>
  </si>
  <si>
    <t>Progress in formulating policy on mass Housing management</t>
  </si>
  <si>
    <t>Commitment 3: Pursuit of urban renewal program guided by updated and simple master plan</t>
  </si>
  <si>
    <t>Urban renewal achieved in compliance with updated and simple master plans</t>
  </si>
  <si>
    <t>Extent of  Regional Master Plan developed</t>
  </si>
  <si>
    <t>Commitment 4: Percentage of Progress on Review of Revenue Rates and Scope under Land Administration</t>
  </si>
  <si>
    <t>Increased sector contribution to the State IGR</t>
  </si>
  <si>
    <t>Extent of all rates on Lands administration that are reviewed</t>
  </si>
  <si>
    <t>Number of Sensitization on collection of property tax conducted</t>
  </si>
  <si>
    <t>Amount of money contributed to IGR through Land administration (in million)</t>
  </si>
  <si>
    <t>MINISTRY OF WOMEN AND SOCIAL DEVELOPMENT</t>
  </si>
  <si>
    <t>Commitment: 1.	Pursuit of targeted women empowerment programmes for job and employment creation to provide sustainable means of livelihoods and vulnarability among women</t>
  </si>
  <si>
    <t xml:space="preserve">Output No. </t>
  </si>
  <si>
    <t>Expected Outputs for Delivering the Outcome Targets</t>
  </si>
  <si>
    <t>Results</t>
  </si>
  <si>
    <t xml:space="preserve">Result No. </t>
  </si>
  <si>
    <t>Jan. - Dec Results</t>
  </si>
  <si>
    <t>Remarks / Evidence</t>
  </si>
  <si>
    <t xml:space="preserve">Existing Goat micro credit scheme for women expanded to cover the entire state and create an export market for the sale of goats </t>
  </si>
  <si>
    <t xml:space="preserve">List of beneficiaries by LG needed </t>
  </si>
  <si>
    <t>Create a sustainable financing window to support business initiatives of both our young men and women that will make them self-reliant including the formation of Women Cooperatives and Entrepreneurship Affinity Groups</t>
  </si>
  <si>
    <t>Number of Advocacies, Training on Skills Development, Sensitization Programs &amp; other Activities Conducted to promote women entrepreneurship</t>
  </si>
  <si>
    <t xml:space="preserve">List of activities, with attendance sheet including the date of each one needed </t>
  </si>
  <si>
    <t>List of women cooperative groups that benefited from the training is needed</t>
  </si>
  <si>
    <t>Number of Members of Women Cooperatives Groups and Entrepreneurship Affinity Groups that have accessed to Financing (loans, grants and start-up packages)</t>
  </si>
  <si>
    <t>Inclusive of Beneficiaries of JCARES Program</t>
  </si>
  <si>
    <t>To veriify</t>
  </si>
  <si>
    <t xml:space="preserve">Commitment 2: Evolve new social protection programs to achieve coverage of the life cycle including Pregnant Women, Children under the Age of 5, Orphans, People with Disability and the Aged-Population (maternal cash transfer and social security for people with the disability)
</t>
  </si>
  <si>
    <t>Establishment of Database of People with Disability, Orphans and other Vulnerable Groups for the purpose of Social Protection Intervention</t>
  </si>
  <si>
    <t xml:space="preserve">Number of Databsed Established </t>
  </si>
  <si>
    <t>To verify the database established</t>
  </si>
  <si>
    <t>Percentage of People in the Database Enrolled in Social Protection Programs</t>
  </si>
  <si>
    <t>To verify from the  database and the enrolment in SSP</t>
  </si>
  <si>
    <t>Review of Social Security Law for Disabled to Expand Scope and Increase Benefit Package</t>
  </si>
  <si>
    <t>Percentage of Progress achieved from Review of the Existing Law to its Accent by the Governor</t>
  </si>
  <si>
    <t xml:space="preserve">Introduce new Social Protection Interventions and welfare programs covering more vulnerable groups </t>
  </si>
  <si>
    <t>Number of New Social Protection and Welfare Programmes Introduced or Revised</t>
  </si>
  <si>
    <t>Percentage Increase Enrolment of Beneficiaries in Existing / New Social Protection Interventions</t>
  </si>
  <si>
    <t>Encounter Register</t>
  </si>
  <si>
    <t>Percentage Increase in Social Protection Spending</t>
  </si>
  <si>
    <t>Actual amount spent needed both for 2023 and 2024 to ascertained the % increase</t>
  </si>
  <si>
    <t xml:space="preserve">Strengthen and expand the operations of the State Disability Trust Fund </t>
  </si>
  <si>
    <t>Percentage Increases in the Amount in the DTF</t>
  </si>
  <si>
    <t>Actual amount raised in 2023 and 2024 are needed to ascertained the % increase</t>
  </si>
  <si>
    <t xml:space="preserve">Percentage Increase in Expenditure Commitments and or Actual Funding of Activities covered by the DTF </t>
  </si>
  <si>
    <t>Is there no any expenditure commiitment from the DTF?</t>
  </si>
  <si>
    <r>
      <t xml:space="preserve">Commitment 3: Evolve policies that specifically address concerns for the protection, survival and development of women and children as raised in the published </t>
    </r>
    <r>
      <rPr>
        <b/>
        <i/>
        <sz val="11"/>
        <color rgb="FF000000"/>
        <rFont val="Arial Narrow"/>
        <family val="2"/>
      </rPr>
      <t>“Situation Analysis”</t>
    </r>
    <r>
      <rPr>
        <b/>
        <sz val="11"/>
        <color rgb="FF000000"/>
        <rFont val="Arial Narrow"/>
        <family val="2"/>
      </rPr>
      <t xml:space="preserve"> of Children in Jigawa State </t>
    </r>
  </si>
  <si>
    <t>Support the strengthening of  Immunization, Vaccination, Safe Deliveries and Antenatal Care Services and Protection of Women Against Proven Harmful Traditional Practices</t>
  </si>
  <si>
    <t>Number of Programmes undertaken towards  protection, survival and development of women and children (sensitization of hamrful traditional practices, birth registration, rape &amp; violence against women, child trafficking, gender-based violence, etc)</t>
  </si>
  <si>
    <t>List of programmes needed</t>
  </si>
  <si>
    <t>Number of communities and Political wards covered with Safe Motherhood sensitization Programme</t>
  </si>
  <si>
    <t>List of communities by LG is needed to verify</t>
  </si>
  <si>
    <t>Development and Implementation of State Gender Policy (% Progress)</t>
  </si>
  <si>
    <t>How?</t>
  </si>
  <si>
    <t>Commitment 4  - Sustained Improvements in Social Welfare Institutions including quality care for inmates and improvement of structures and facilities</t>
  </si>
  <si>
    <t>Improvement in Structure and facilities in Social Welfare Institutions</t>
  </si>
  <si>
    <t>Annual Budget Performance in the  maintenance of structures, facilities and operational expenses of social welfare institutions</t>
  </si>
  <si>
    <t>To be verified - From end of year 2024 budget performance report and the institutions where the maintenance of structures and facilities were made.</t>
  </si>
  <si>
    <t>Number of inmates discharged from all Social Welfare Institutions</t>
  </si>
  <si>
    <t>No target set</t>
  </si>
  <si>
    <t>Annual Budget Implementation on Orphaned &amp; Vulnerable Children (OVC) Support &amp; Others Child Dev. Programs (including Children Day Celebration, Nutrition Interventions, etc,</t>
  </si>
  <si>
    <t>To be verified from end of year 2024 budget performance report .</t>
  </si>
  <si>
    <t>JIGAWA STATE INVESTMENT PROMOTION AGENCY (INVESTJIGAWA)</t>
  </si>
  <si>
    <t>Commitment 1: Improvement of the State’s Business Environment and Investment Climate aimed at mobilizing Domestic and Foreign Direct Investments into the State to support quest for economic growth and development. This will involve the provision of pragmatic and relevant policy, legal, regulatory, and institutional frameworks for investment mobilization and private sector development.</t>
  </si>
  <si>
    <t>OP No.</t>
  </si>
  <si>
    <t>No. of RAs</t>
  </si>
  <si>
    <t>Jan - Dec 
Result</t>
  </si>
  <si>
    <t xml:space="preserve">Performance </t>
  </si>
  <si>
    <t>Evidences / Remarks</t>
  </si>
  <si>
    <t xml:space="preserve">Provision of Robust Policies to facilitate improved Business environment, Investment Climate and Private Sector Development. These included, but not limited to, Policies on PPP, LARF, Export Promotion, Industrialization, and Regime of Investment Incentives </t>
  </si>
  <si>
    <t>Number of Consultations with critical stakeholders held</t>
  </si>
  <si>
    <t>To verify item 1 - present the attendance  and draft of the policy
To verify by presnting the published document and through the mentioned website
To verify website
To verify website
To verify website
To verify website
To verify website</t>
  </si>
  <si>
    <t>Number of State Investment Policies Initiated (New and Review of Exisiting ones)</t>
  </si>
  <si>
    <t xml:space="preserve">Industrial Policy development in progress. The first stakeholder consultation meeting has been convened
(https://www.facebook.com/share/p/1BMmU8QowZ/)
</t>
  </si>
  <si>
    <t xml:space="preserve">Industrial policy is only one (1) investment policy not 4 </t>
  </si>
  <si>
    <t>Number of State Investment Policies approved by the State</t>
  </si>
  <si>
    <t>Industrial Policy development in progress. The first stakeholder consultation meeting has been convened</t>
  </si>
  <si>
    <t>Number of Initiatives in the State's Annual Business Enabling Environment Reform Plan (BERAP) that are implemented beyond 50%</t>
  </si>
  <si>
    <t xml:space="preserve">This is based on the 2024 BERAP Progress Report. 
</t>
  </si>
  <si>
    <t>What are the initiatives implemented?</t>
  </si>
  <si>
    <t>New investments originated</t>
  </si>
  <si>
    <t>???? To provide the list of new investmen attracted</t>
  </si>
  <si>
    <t>Fully operational investments sustained</t>
  </si>
  <si>
    <t>Number of existing investments in the InvestJigawa database that are fully operational</t>
  </si>
  <si>
    <t>An aftercare manual was developed to assist in undertaking targetted aftercare services for investors for effective facilitation
InvestJigawa Pipeline Tracker</t>
  </si>
  <si>
    <t>Investment database of the state expanded</t>
  </si>
  <si>
    <t xml:space="preserve">Number of fully operational  existing investments newly captured into the State investment database </t>
  </si>
  <si>
    <t>List of fully operational existing investmens newly captured</t>
  </si>
  <si>
    <t xml:space="preserve">Number of non-fully operational existing investments newly captured into the State investment database </t>
  </si>
  <si>
    <t xml:space="preserve">Data capturing was carried out around Kazaure axis, and could not proceed with other parts of the state as a result of untimely release of funds for the activities of the agency
</t>
  </si>
  <si>
    <t xml:space="preserve">Development and Implementation of the Agency's Strategic Plan </t>
  </si>
  <si>
    <t>Strategic Investment Plan Developed and Annually Reviewed</t>
  </si>
  <si>
    <t>InvestJigawa with support of FCDO LINKS developed a 5 year strategic plan (2021-2026) and recently developed a corporate plan to ensure effective implementation
https://jigawastate.gov.ng/uploads/INVESTJIGAWA%20STRATEGIC%20PLAN.pdf</t>
  </si>
  <si>
    <t>Number of Initiatives in the Strategic Plan that are implemented'</t>
  </si>
  <si>
    <t>https://www.jigawastate.gov.ng/uploads/Jigawa%20state%20investment%20promotion%20agency%20corporate%20plan.pdf</t>
  </si>
  <si>
    <t xml:space="preserve">To check the website </t>
  </si>
  <si>
    <t xml:space="preserve">Gagarawa Industrial Park (GIP) operational </t>
  </si>
  <si>
    <t>Number of phases of GIP completed</t>
  </si>
  <si>
    <t>Technical Committee for GIP was reconstituted, and the works for water, and electricity are not fully completed</t>
  </si>
  <si>
    <t>Provide the list of phase completed</t>
  </si>
  <si>
    <t>Number of plots at GIP allocated  to investors</t>
  </si>
  <si>
    <t>Six (6) additional applications from interested investors were received and submitted for approval of Jigawa State government, but no action was taken</t>
  </si>
  <si>
    <t>What are the two beneficiaries</t>
  </si>
  <si>
    <t>Functional management team at GIP in place</t>
  </si>
  <si>
    <t>A memo was submitted by the Agency to His Excellency the Deputy governor on proposed management structure of the park</t>
  </si>
  <si>
    <t xml:space="preserve">Number of operational investments at GIP </t>
  </si>
  <si>
    <t>Nine (9) companies commenced  constructions of fence of the plots and production of blocks</t>
  </si>
  <si>
    <t>Private industrial park (PIP) established</t>
  </si>
  <si>
    <t xml:space="preserve">Number of private investors identified </t>
  </si>
  <si>
    <t>The investors (Cydam Group) which initiially indicated an interest to establish a Private Industrial Park has withdrawn its interest to do so as a result of other projects that the company is presently  engaged in other states</t>
  </si>
  <si>
    <t>Mention the investor</t>
  </si>
  <si>
    <t>Number of PIP approved</t>
  </si>
  <si>
    <t>Number of PIP established</t>
  </si>
  <si>
    <t>Sustain and improve on the present effort of making Maigatari Export Processing Zone (MEPZ) a reality. * In collaboration with Ministry of Commerce, Industry, Cooperatives and TourismMEPZ fully occupied by investors</t>
  </si>
  <si>
    <t>Number of warehouses occupied by investors through the contribution of the Agency</t>
  </si>
  <si>
    <t>Cmttraex Limited occupied 2 prototype ware houses
Starlink Ideal Limited occupied 2 warehouses at MEPZ</t>
  </si>
  <si>
    <t>Commitment 2: To Fast track the realization of mobilized / pipeline investment proposals  and support to the private sector for increased investments and job creation</t>
  </si>
  <si>
    <t>Speeding Realzation of Pipiline Investment and Investment Proposals</t>
  </si>
  <si>
    <t>Number of targetted investor targetting events conducted</t>
  </si>
  <si>
    <t>The Nigeria Agribusiness Group (NABG) in collaboration with InvestJigawa hosted the Women and Young Farmers Agripreneurs Regional Conference (WAYFARC) in Jigawa State. The conference focused on sustainable and inclusive agricultural practices. 
(https://www.facebook.com/share/v/1DstrGU88t/)
InvestJigawa in Discussion with 2 Investors attracted at the Nigeria Agribusiness Group (NABG)
The JIWEN Trade Fair, organised by the Jigawa Women Entrepreneur Network (JIWEN) in collaboration with InvestJigawa, took place from 27th to 29th November, 2024, at the Aminu Kano Triangle in Dutse. This landmark event provided a platform for women entrepreneurs to showcase their products and services, nurture business collaborations, and connect with key stakeholders. 
(https://www.facebook.com/share/p/144rNquvqH/)</t>
  </si>
  <si>
    <t xml:space="preserve">To check the websites </t>
  </si>
  <si>
    <t>Number of Investments attracted as a result of targetted investor targetting event.</t>
  </si>
  <si>
    <t>Number of hand-holding support provided to Investors</t>
  </si>
  <si>
    <t>Commitment 3: Continue to provide the necessary business environment and investment climate attractive to both Domestic and Foreign Investors; be among the topmost performers in the Nation’s Business Competitiveness Index</t>
  </si>
  <si>
    <r>
      <t xml:space="preserve">Improvement in PEBEC Sub-national Ease of Doing Business Survey indicators sustained </t>
    </r>
    <r>
      <rPr>
        <b/>
        <sz val="11"/>
        <rFont val="Calibri"/>
        <family val="2"/>
        <scheme val="minor"/>
      </rPr>
      <t>(TO BE SCORED NEXT YEAR)</t>
    </r>
  </si>
  <si>
    <t>Percentage Improvement in PEBEC's EoDB sub-national survey aggregate score</t>
  </si>
  <si>
    <t>The survey is conducted after two years and it is not applicable in 2024. However the Steering Committee was constituted to ensure implementation of reforms to enable the state improve in its performance in 2025.</t>
  </si>
  <si>
    <t>YOUTHS EMPLOYMENT AND EMPOWERMENT AGENCY</t>
  </si>
  <si>
    <t>OUTPUT LEVEL RESULT FRAMEWORK - YOUTH EMPOWERMENT AND EMPLOYMENT AGENCY</t>
  </si>
  <si>
    <t xml:space="preserve">Employment Generation and Youths Empowerment for productivity and sustainable means of livelihoods for the people </t>
  </si>
  <si>
    <t>No. of OPs</t>
  </si>
  <si>
    <t>Outputs Deliverables</t>
  </si>
  <si>
    <t>2024 
Target</t>
  </si>
  <si>
    <t>Remarks / Evidences</t>
  </si>
  <si>
    <t>Skills of 150,000 youths enhanced on ICT and other industry demand skills and them with industry remote work and freelancing opportunities to earn income across borders</t>
  </si>
  <si>
    <t>Number of youths that were trained on ICT that have started earning income with the acquired skills</t>
  </si>
  <si>
    <t>Additional 1,200 youth trained on various ICT skill in the month of December 2024 in partnership with Gluwa.</t>
  </si>
  <si>
    <t>Number of trained youths on other skills that have started earning income with the acquired skills</t>
  </si>
  <si>
    <t>Additional 200 youth trained on various skills such as social marketing etc by Arewa Development Initiative in December 2024</t>
  </si>
  <si>
    <t>Youths livelihood and vocational skills enhanced through hands-on internship programme with private sector organizations</t>
  </si>
  <si>
    <t xml:space="preserve">Number of private sector organizations that have signed MoU with Jigawa State to provide internship programme for youths in the state </t>
  </si>
  <si>
    <t>MoUs signed with ITF, IDEAS, BoI, NITDA and Baze University</t>
  </si>
  <si>
    <t>Hadejia Skills Centre in collaboration with Jilo Akida Foundation have trained 250 youth (150 female &amp; 100 male) on different trades such as Catering, Tailoring, Electrical, Plumbing and Leather Work. HW Foundation Gumel has also trained 150 women on Basiline, Air Freshner and Morning Fresh making.</t>
  </si>
  <si>
    <t>Home-grown artisan’s public works programs designed and implemented</t>
  </si>
  <si>
    <t>Number of home-grown artisans engaged by state contractors for work execution</t>
  </si>
  <si>
    <t>250 youth trained on Hand Pump Repairs and Installation, 300 youth trained on Solar Installation &amp; Repairs, 130 trained on Motor Mechanic repairs, Plumbing and Welding across the state by NATA</t>
  </si>
  <si>
    <t>Alternative funding partners sourced for youth Empowerment Programs</t>
  </si>
  <si>
    <t>Gluwa, Arewa Development Support Initiative, Jilo Akida Foundation Hadejia and HW Foundation Gumel</t>
  </si>
  <si>
    <t>Number of youth that benefitted from the partners empowerment support</t>
  </si>
  <si>
    <t>Access created for small business opportunity grants and soft loans for MSMEs and retail businesses with seed capital to support small businesses</t>
  </si>
  <si>
    <t>Number of new businesses that benefitted from soft loans as seed capital</t>
  </si>
  <si>
    <t>Workers Agric Loan 5000, J-Agro 550, 10 number combine Harvesters to Large scale farmers, 27 beneficiaries of N10m plus N2m to one beneficiary</t>
  </si>
  <si>
    <t>Number of new businesses that benefitted from grants as seed capital</t>
  </si>
  <si>
    <t>Partnered with J-CARES 13,200, FGN Nano Grants 110,800, Governors Grant 27,940, Progressive Governors Forum Grant, JGSG Empowerment Grant 4,810</t>
  </si>
  <si>
    <t>It is assumed that out of the 6000 govt. workers that were given Agric loan, 948 are already involved in farming. 10 Combine Harvesters were giving out to 10 individuals as loan.</t>
  </si>
  <si>
    <t>Empowerment grant to 5,000 SMEs 3 Senatorial Zones, 6,720 Nano Business Grant, 4000 Presidential Nano Grant</t>
  </si>
  <si>
    <t>Skill Acquisition Centres to train youth on demand driven skills renovated and equipped with modern facilities</t>
  </si>
  <si>
    <t>Number of skills acquisition Centres renovated</t>
  </si>
  <si>
    <t>Dutse, Hadejia and Gumel Centres (Embroidery Factories) currently ongoing</t>
  </si>
  <si>
    <t>Number of skills Acquisition Centres equipped with modern facilities</t>
  </si>
  <si>
    <t>Comprehensive database developed for unemployed and under-employed graduates to cover graduates of Diploma upwards to facilitate job search and placement outside the state civil services</t>
  </si>
  <si>
    <t>Percentage progress of developing a comprehensive database of unemployed and under-employed youths</t>
  </si>
  <si>
    <t>Proportion of unemployed youth job-placement  done through selection from state youth skills demand database and market demand</t>
  </si>
  <si>
    <t>10,000 Hisbah Recruitment, 36 Nigeria Navy, 7 employed under Federal Government, 319 employed by Dangote Rice Mill, 1,600 Mota Engine Company, 3 at ECGCC</t>
  </si>
  <si>
    <t>Proportion of under-employed youths job placement done through selection from state youth skills demand database and market demand</t>
  </si>
  <si>
    <t>Contribution to State IGR from youth empowerment intervention programmes</t>
  </si>
  <si>
    <t>Amount of state IGR contribution from all youth empowerment interventions through their tax payment</t>
  </si>
  <si>
    <t xml:space="preserve">MINISTRY OF EDUCATION SCIENCE AND TECHNOLOGY DUTSE                                                                                                                                                  </t>
  </si>
  <si>
    <t>Commitment 1:   Address the chalenges of unfavourable pupil - teacher ratio in post basic school (senior secondary school)</t>
  </si>
  <si>
    <t>OPT No.</t>
  </si>
  <si>
    <t>Outputs</t>
  </si>
  <si>
    <t>Outputs KPIs</t>
  </si>
  <si>
    <t>Jan - Dec Actual</t>
  </si>
  <si>
    <t>Reduced pupil teacher ratio in post Basic Schools</t>
  </si>
  <si>
    <t>Pupils Teacher ratio in SSS</t>
  </si>
  <si>
    <t>Let have the enrolments and teachers on the ground to establish the basis</t>
  </si>
  <si>
    <t>Commitment- 2: Reviewing the concept of Establishing centres of excellence and effecctive schools at post basic Education</t>
  </si>
  <si>
    <t>increasing No of existing centre of excellence secondary school that meet the standard requirement of being a centre of excellence from 1 to 4 based on the redefined concept</t>
  </si>
  <si>
    <t xml:space="preserve">No of existing centre of excellence secondary school that meet the standard requirement of being a centre of excellence </t>
  </si>
  <si>
    <t>Santami Project</t>
  </si>
  <si>
    <t>Commitment -3: Provision of Critical Infracturactures (Decongestion of student classes ans Hostel)</t>
  </si>
  <si>
    <t>Student classroom ratio in sss</t>
  </si>
  <si>
    <t>To be verified</t>
  </si>
  <si>
    <t>Student Hostel ratio reduced</t>
  </si>
  <si>
    <t>Student Hostel ratio boarding sss</t>
  </si>
  <si>
    <t>Commitment -4: Enhance quality of science, technology and vocational Education Training (STEM and TVET)</t>
  </si>
  <si>
    <t>STEM &amp; TVET Teachers capacity developed</t>
  </si>
  <si>
    <t>No of STEM Teachers trained on subject releted matters</t>
  </si>
  <si>
    <t>Training of 300 Science subject Teachers on Biology, Chemistry and Physics practicals, G4H program</t>
  </si>
  <si>
    <t xml:space="preserve">Attendance sheet </t>
  </si>
  <si>
    <t>No of TVET Teachers trained on subject releted matters</t>
  </si>
  <si>
    <t xml:space="preserve">Capacity building, methodology of teaching, computer literacy &amp; practical subjects (electrical, mechanical etc), Training of teachers on Guidance &amp; Councelling, FTDS </t>
  </si>
  <si>
    <t>Commitment - 5:Leveraging on the power of e-learning to achieve better learning outcomes in schools (This would be part of an integrated state ICT strategy and e-governence</t>
  </si>
  <si>
    <t>improve student learning outcomes through e-learning platforms</t>
  </si>
  <si>
    <t>No, of students participating on e-learning platforms</t>
  </si>
  <si>
    <t>To be verified through NLP Dashboard</t>
  </si>
  <si>
    <t>JEMIS, TIS, e-admission, e-learning (NLP), e-data collection, e-registration of candidates</t>
  </si>
  <si>
    <t>Whether they are functional or not.  To be verified</t>
  </si>
  <si>
    <t>Number of staff trained on the use of e- governance system</t>
  </si>
  <si>
    <t>JCOMPETE-3,733
School Directors/Principlas- 286
MoHEST Directors, Deputies&amp; Asst., Zonal Offices - 981</t>
  </si>
  <si>
    <t>Attendance sheet</t>
  </si>
  <si>
    <t>Commitment -: 6: Ensure effective operation of ICT in Schools</t>
  </si>
  <si>
    <t>ICT in schools improve</t>
  </si>
  <si>
    <t>No of senior secondary schools with ICT facilities</t>
  </si>
  <si>
    <t>Provision of 300 routers and data services to all senior secondary schools
Distribution of 300 Tablets to all school EMIS officers and Zonal EMIS officers</t>
  </si>
  <si>
    <t>How many Computer Labs?</t>
  </si>
  <si>
    <t>No of ICT teachers in senior secondary schools</t>
  </si>
  <si>
    <t>ICT staff Record</t>
  </si>
  <si>
    <t>No of ICT training conducted for teachers</t>
  </si>
  <si>
    <t>1)Training of Bamaina Academy staff on teaching strategies and the use of ICT gadgets in teaching
2)Training of school managers on proper record keeping in offline and online facilities
3)Training of Directors, Zonal directors and principals on the use of ICT
4) -Training on J-COMPETE and online data collection
5) Training of teachers on NLP</t>
  </si>
  <si>
    <t>Training reports</t>
  </si>
  <si>
    <t>No. of teachers trained on ICT</t>
  </si>
  <si>
    <t>Drawn from above activities</t>
  </si>
  <si>
    <t>Attendance sheets</t>
  </si>
  <si>
    <t>Commitment -: 7: Accelerate effort to commence medical training in the state university</t>
  </si>
  <si>
    <t>Medical collage established in the state university</t>
  </si>
  <si>
    <t>% of medical structures constructed</t>
  </si>
  <si>
    <t>Medical courses accredited in the sule lamido university (SLU)</t>
  </si>
  <si>
    <t>Number of Medical courses accredited in SLU</t>
  </si>
  <si>
    <t>Not assessed</t>
  </si>
  <si>
    <t>Average Performance</t>
  </si>
  <si>
    <t>Commitment -: 8: Improve operation of Jigawa quality Assurance Agency (JISEQAA)</t>
  </si>
  <si>
    <t>Quality Assurance Agency Established</t>
  </si>
  <si>
    <t>% of JISEQAA corperate plan developed</t>
  </si>
  <si>
    <t>The policy &amp; the corperate plan developed but certain adjustments are to be carried out</t>
  </si>
  <si>
    <t>Number of QA Evaluators deployed to the Agency</t>
  </si>
  <si>
    <t>42 QA evaluators @JISEQAA</t>
  </si>
  <si>
    <t>Number of QA Evaluators trained</t>
  </si>
  <si>
    <t>PERL/ARC, PLANE and AGILE</t>
  </si>
  <si>
    <t>Proportion of senior secondary Quality assured during whole school evaluation QA Exercise</t>
  </si>
  <si>
    <t>51 Senior Secondary Schools (27,10,14)</t>
  </si>
  <si>
    <t>percentage of QA reports dissiminated</t>
  </si>
  <si>
    <t>Commitment -: 9:Ensure that all programm in the state tertiary institution are fully accredited by the relevant authorities</t>
  </si>
  <si>
    <t>All programme in the 7 state tertiary institutions are accredited</t>
  </si>
  <si>
    <t>% of programme in the 7 state tertiary owned institutions accredited</t>
  </si>
  <si>
    <t>To confirm accredition status of all courses in tertiary institutions</t>
  </si>
  <si>
    <t>Commitment -: 10: Establish research centres in tertiary institutions to attract intervention/colaboration from (public/private sectors) and improve the exixting ones</t>
  </si>
  <si>
    <t>Additional research centres established</t>
  </si>
  <si>
    <t>No of additional research centres established in the state owned tertiary institutions</t>
  </si>
  <si>
    <t>Commitment -: 11: Funding research in science, technology and Agriculture through collaboration with private sector and Donor agencies</t>
  </si>
  <si>
    <t>No of additional research centres established in the state own tertiary institutions</t>
  </si>
  <si>
    <t>MINISTRY OF BASIC EDUCATION</t>
  </si>
  <si>
    <t>PERFORMANCE BOND FOR DELIVERING TARGETED RESULTS IN BASIC EDUCATION FOR ACHIEVING THE PRIORITY DEVELOPMENT COMMITMENTS OF JIGAWA STATE GOVERNOR</t>
  </si>
  <si>
    <t>Commitment 1 - Automation and digitization of school administrations, governance and admission process</t>
  </si>
  <si>
    <t>No. of 
Opts</t>
  </si>
  <si>
    <t>Deliverable Outputs</t>
  </si>
  <si>
    <t>Jan - Dec
Actual</t>
  </si>
  <si>
    <t xml:space="preserve">School administration, governance and admission process automated and digitized </t>
  </si>
  <si>
    <t xml:space="preserve">No. of platforms developed/adopted </t>
  </si>
  <si>
    <t>Commitment 2 - Enhance the Education database for proper mapping of all schools in the State by undertaking bio-metric-based capturing of all pupils and teachers</t>
  </si>
  <si>
    <t xml:space="preserve">Database for mapping of all schools in the state developed with biometric-based features to capture all pupils and teachers (to leverage on BAMIS, TMIS, LURITS) </t>
  </si>
  <si>
    <t xml:space="preserve">Percentage coverage of pupils in the database.
</t>
  </si>
  <si>
    <t>Commitment 3 - Sustain and improve the present drive of reducing the number of out-of-school children through a fragmented approach that involves all the stakeholders</t>
  </si>
  <si>
    <t>Reduced out of school children through a fragmented approach that involves all the stakeholders</t>
  </si>
  <si>
    <t>Percentage of OOSC in Primary</t>
  </si>
  <si>
    <t>Percentage of OOSC in JSS</t>
  </si>
  <si>
    <t>Procurement and Distribution of Transition package and sanitary and Sanitation items to Nomad Girls Child Transiting to Boarding J.S.S to Nomadic Schools aacross the state, (ANE) - Learners made literate:(1)Basic and post basic literacy 9,199 (3)Continuous education 1,201 (4)Remedial education 2,025 (5)Women vocational and skills2,025 (5)Literacy by radio 6,499. (AME) - Procurement and Distribution of Instructional materials for 400no. Adult and 150no. Youth Islamiyya literacy centres and Facilitators Allowances. Monitoring of 400no. Adult and 150no.Youth Islamiyya centres and Sansitization to unwilling communities across the State (AME)</t>
  </si>
  <si>
    <t>Commitment 4 -  Enhance the efficiency, resourcefulness, competence of teachers and other educational personnel through training, capacity building, and motivation (Continuous training and retraining of at least 5,000 Teachers/Instructors annually, focusing on Modern Teaching Research Techniques, Digital Literacy, and Skills for Basic Education)</t>
  </si>
  <si>
    <t>Teachers rewarded for their outstanding performance/achievements</t>
  </si>
  <si>
    <t>No. of teachers rewarded for extra ordinary performance</t>
  </si>
  <si>
    <t xml:space="preserve">none </t>
  </si>
  <si>
    <t>Teachers/intstructors trained on modern teaching, research techniques/pedagogical skills, digital literacy and basic skills to promote investment in skills-based training and certification programs</t>
  </si>
  <si>
    <t>No. of teachers trained on modern teaching, research techniques (pedagogy)</t>
  </si>
  <si>
    <t>Teachers train on Strengthing Mathmatics and Science Education(SMASE), Strengthing Teachers on English on Proficiancy (STEP) and School Based Training (SBT)(SUBEB). -Training of facilitators for remedial program across the 27LGA</t>
  </si>
  <si>
    <t>No. of teachers trained on digital literacy</t>
  </si>
  <si>
    <t>J-Teach Teachers given Induction Training and 2nd Chance J-Teach Teachers.</t>
  </si>
  <si>
    <t>Number of teachers trained on basic skills to bridge hand skill gap</t>
  </si>
  <si>
    <t>20NO. teachers, trained on Teacher Internship Scheme (TIS)</t>
  </si>
  <si>
    <t>Commitment 5 - Consolidate on gains achieved in girl-child education by introducing Girl-Child Community Committee (GCCC) to monitor retention rates for girls in schools</t>
  </si>
  <si>
    <t>Girl-Child Community Committee (GCCC) to monitor retention rates for girls in schools introduced</t>
  </si>
  <si>
    <t>No. GCCC formed to monitor retenton rates for girls in schools</t>
  </si>
  <si>
    <t>Mothers association were created 3288 in Basic Education Schools in the State, Five (5) Women in each School with a leader (1) in each local government,</t>
  </si>
  <si>
    <t>Commitment 6 - Leapfrog Jigawa into the Digital Economy by introducing digital skills such as coding, web development, and artificial intelligence to all public primary and secondary schools in the state</t>
  </si>
  <si>
    <t>1MOTHER ASS to eac LGEA</t>
  </si>
  <si>
    <t>Teachers trained on digital skills in basic schools</t>
  </si>
  <si>
    <t xml:space="preserve">No. of teachers trained in basic coding, web design &amp; artificial inteligence </t>
  </si>
  <si>
    <t>on Artificial Intellegence</t>
  </si>
  <si>
    <t xml:space="preserve">Learners acquired digital skills in basic schools </t>
  </si>
  <si>
    <t>No. of learners trained in basic coding, web design &amp; artificial inteligence</t>
  </si>
  <si>
    <t>Commitment 7 - Address the challenge of unfavorable pupil-teacher ratio in Basic schools</t>
  </si>
  <si>
    <t>Net increase of teachers in primary schools</t>
  </si>
  <si>
    <t>Number of teachers recruited annually</t>
  </si>
  <si>
    <t>36Teachers were recuited to MEGA Schools, 3,000 Teachers were recruited in both Primary and Junior Secondary Schools and also 3,200 J-teachers were engaged to Basic Education Schools</t>
  </si>
  <si>
    <t>Net increase of teachers in junior secondary schools</t>
  </si>
  <si>
    <t>Reduced Pupil Teacher Ratio in Primary Schools from 65 to 45. Pupil Class Ratio reduced from 101 to 50 in PS and from 59 to 30 in JSS</t>
  </si>
  <si>
    <t>Pupil Teacher Ratio in Primary</t>
  </si>
  <si>
    <t>Pupil Teacher Ratio in JSS</t>
  </si>
  <si>
    <t>Pupil Class Ratio in PS</t>
  </si>
  <si>
    <r>
      <rPr>
        <sz val="12"/>
        <color rgb="FF000000"/>
        <rFont val="Calibri"/>
        <family val="2"/>
      </rPr>
      <t xml:space="preserve">1) </t>
    </r>
    <r>
      <rPr>
        <b/>
        <sz val="12"/>
        <color rgb="FF000000"/>
        <rFont val="Calibri"/>
        <family val="2"/>
      </rPr>
      <t>ANE Construction of 1 Block of 2 Class Rooms in the following LGAs</t>
    </r>
    <r>
      <rPr>
        <sz val="12"/>
        <color rgb="FF000000"/>
        <rFont val="Calibri"/>
        <family val="2"/>
      </rPr>
      <t xml:space="preserve"> 
1. Migawa - Birnin Kudu L.G.A
2. DADIN KOWA - DUTSE L.G.A
3. MALAM BAKO BORNAWA - S/TANKARKAR
4. JAMAARE - GURI L.G.A 
2) </t>
    </r>
    <r>
      <rPr>
        <b/>
        <sz val="12"/>
        <color rgb="FF000000"/>
        <rFont val="Calibri"/>
        <family val="2"/>
      </rPr>
      <t xml:space="preserve">Construction of 4no. Block of 2 classrooms
</t>
    </r>
    <r>
      <rPr>
        <sz val="12"/>
        <color rgb="FF000000"/>
        <rFont val="Calibri"/>
        <family val="2"/>
      </rPr>
      <t xml:space="preserve"> CHAMBAWA IN K/HAUSA LGA
2. DANZABARMA IN B/KUDU LGA
3. SAFAMI IN GURI LGA
4. WAIDU RAUDA IN YAN KWASHI</t>
    </r>
  </si>
  <si>
    <t>Pupil Class Ratio in JSS</t>
  </si>
  <si>
    <t>Commitment 8 - Reviewing the concept of established Effective Schools at Basic Education</t>
  </si>
  <si>
    <t>Increased number of the existing Effective schools that meet the standard requirement of being a Effective from 1 to 40 based on the redefined concept</t>
  </si>
  <si>
    <t>No of the existing Effective Primary schools that meet the standard requirement of being effective</t>
  </si>
  <si>
    <t>LIST OF SCHOOLS THAT MEET THE CRITERIA OF BEING EFFECTIVE 1) JAHUN SPRIMARY SCHOOL 2)ABDULKADIR PILOT PRIMARY SCHOOL 3)JSS FAGOJI 4)ZANDAM NAGOGO SPRIMARY SCHOOL 5)MARKE CENTRAL PRIMARY SCHOOL 5)HARBO SABUWA 6)SANKARA PRIMARY SCHOOL 7)DABI PRIMARY SCHOOL 8)JSS DANGYATIN 9)BANDAWA PRIMARY SCHOOL</t>
  </si>
  <si>
    <t>Commitment 9 - Leveraging on the power of e-learning to achieve better learning outcomes in schools (This would be part of an integrated State ICT Strategy and e-governance)</t>
  </si>
  <si>
    <t>E-learning centers for better learning outcomes in schools as part of ICT and e-governance agenda from 3 to 20 built and equiped</t>
  </si>
  <si>
    <t>No. of e-learning centers built and equiped</t>
  </si>
  <si>
    <t>1. Construction of 1no. Block of ICT Lab with office at Dangan Tsaure Nomadic Girls Junior Secondary School, Dutse LGA (ANE) - Construction of Laboratories at: 1) JSSS Aujara 2) JSS Jahun 3)JSS Kanya Babba 4)JSS Guri 5)JSS Ahmad Habu (MoBE)</t>
  </si>
  <si>
    <t>MINISTRY OF INFORMATION</t>
  </si>
  <si>
    <t>No. of Outputs</t>
  </si>
  <si>
    <t xml:space="preserve">Expected Outputs for Delivering  the Outcome Targets </t>
  </si>
  <si>
    <t>No. of Results</t>
  </si>
  <si>
    <t>Jan - Dec Actuals</t>
  </si>
  <si>
    <t xml:space="preserve">Commitment 1: Strategic Information Management to generate Public Awareness, Mass Mobilization and Re-orientation for Participatory Governance and Patriotism. </t>
  </si>
  <si>
    <t>Projecting a positive image of Government and the State across Nigeria and the World as the ‘New World”, generating awareness on Government Policies &amp; Programmes and the Rich History &amp; Culture of the State.</t>
  </si>
  <si>
    <t xml:space="preserve">Remarks needed </t>
  </si>
  <si>
    <t>Percentage of Features that is of International Coverage</t>
  </si>
  <si>
    <t>Number of functional FM Stations across the State (A minimum of 18 Hours of Daily Broadcast)</t>
  </si>
  <si>
    <t xml:space="preserve">Number of Unique Jingles developed and aired Annually by State AM and FM Stations on Public Sensitization, Government Policies and Programs </t>
  </si>
  <si>
    <t>Number of Documentaries, Publications, Press Releases Special-focused Stories Produced on Government Policies and Programs</t>
  </si>
  <si>
    <t>Commitment 2: Mass Mobilization for Societal Re-orientation and Participatory Governance</t>
  </si>
  <si>
    <t>Social Re-Orientation &amp; Mobilization (Public Education, Information and Communication on Mobilization on Participatory Governance, Social Cohesion and Peaceful Co-existence)</t>
  </si>
  <si>
    <t>Number of Participations in the  Multisectoral  State Taskforce on the fight against Drug  / Substance Abuse in the State</t>
  </si>
  <si>
    <t>No. of School- and Community-based clubs established on Campaigns Against Drug Abuse</t>
  </si>
  <si>
    <t>List is needed foor verification</t>
  </si>
  <si>
    <t>No. of Engagements with the Established Clubs on the Campaigns Against Drug Abuse</t>
  </si>
  <si>
    <t>List of established clubs and date of engagement with each of them</t>
  </si>
  <si>
    <t>No. of Events Led by the Ministry in Activities Conducted by the MultiSectoral Task Force</t>
  </si>
  <si>
    <t>List of events needed</t>
  </si>
  <si>
    <t xml:space="preserve">No. of Government Organized Town Hall Meetings </t>
  </si>
  <si>
    <t xml:space="preserve">Provide date and venue of each town hall meeting </t>
  </si>
  <si>
    <t>No / Frequency of publications on Societal Orientation / Mobilization (Pliers / other Periodicals)</t>
  </si>
  <si>
    <t>No. of Phone-in Programs and Press Conferences Organised for Government Officials on Public Sensitization (State Radio and Television)</t>
  </si>
  <si>
    <t>Commitment 3: Support the General Development of Sports and Improvement the State's Performance in National Sporting Events and other Youth Development Initiatives</t>
  </si>
  <si>
    <t>Provision / Improvement of Sporting Infrastructures &amp; Facilities,  Development of Local Talents and Greater Performance in National Sporting Events</t>
  </si>
  <si>
    <t>Functionality of Dutse Stadium (No of Days of Sporting Activities Annually)</t>
  </si>
  <si>
    <t>Functionality of Other Mini Stadia in the Emirate Headquarters (No. of Sporting Activities undertaken Quarterly)</t>
  </si>
  <si>
    <t>Number of Sporting Activities in which the State is participating in National Leagues</t>
  </si>
  <si>
    <t>No. of Sporting Events Promoted Through Inter-Local Government Competitions</t>
  </si>
  <si>
    <t>Number of Youth Registered for Participation in State Sporting Events Annually</t>
  </si>
  <si>
    <t>Propotion of Registered youths that partipated in Local, State or National Champiionships</t>
  </si>
  <si>
    <t>Youths Leadership Development</t>
  </si>
  <si>
    <t>Number of Youths Aged 18 - 24 years Engaged in National Citizens and
Leadership Training Centers
Annually</t>
  </si>
  <si>
    <t>Commitment 4: Promote the Development of History and Culture</t>
  </si>
  <si>
    <t>Promote History and Culture</t>
  </si>
  <si>
    <t>No. of Local and National Cultural Events Organized or Participated by the State</t>
  </si>
  <si>
    <t>Progress towards the Establishment of Archive and Reference Library in the State</t>
  </si>
  <si>
    <t>To conduct site visit</t>
  </si>
  <si>
    <t>Commitment 5: Revitalization of Jigawa State Printing Press</t>
  </si>
  <si>
    <t xml:space="preserve">Jigawa State Printing Press Revitilised as a Viable Profitable Government Owned Enterprices </t>
  </si>
  <si>
    <t>Functionality  and Profitability State Printing Press (IGR Performance as per Approved Budget)</t>
  </si>
  <si>
    <t>Percentage of Employees of the Printing Press not under State Payroll (40% in 4 Years)</t>
  </si>
  <si>
    <t>Total employees on payroll and Total not on payroll needed</t>
  </si>
  <si>
    <t>MINISTRY OF HEALTH</t>
  </si>
  <si>
    <t>HEALTH SECTOR DELIVERY PERFORMANCE MANAGEMENT FRAMEWORK</t>
  </si>
  <si>
    <t>Commitment 1: Improve access to healthcare services through the attainment of Government’s vision of at least one functional Basic Health Clinic per Political Ward, one Secondary Health Facility for each State Constituency and a Specialist Hospital for each Senatorial Zone. This involve the completion and commissioning all the outstanding projects on Secondary and Specialist Hospitals before the end of the year 2024.</t>
  </si>
  <si>
    <t>Remarks and Evidences</t>
  </si>
  <si>
    <t>Completion and Commissioning of Ongoing Expansion and Improvement of Construction of new hospitals</t>
  </si>
  <si>
    <t>Number of the 4 General Hospitals at Garki, Gantsa, Gwiwa, and Guri fully equipped</t>
  </si>
  <si>
    <t>Number of PHCs out of the 13 PHCs upgraded to secondary care facilities across the state</t>
  </si>
  <si>
    <t>Kiyawa and Maigatari schedule for visit</t>
  </si>
  <si>
    <t>Number of the upgraded PHCs out of the 13 that are fully equipped</t>
  </si>
  <si>
    <t>Number of the upgraded and fully equipped PHCs out of the 13 that are fully functional</t>
  </si>
  <si>
    <t>Schedule for Viist</t>
  </si>
  <si>
    <t>Progress status in completion of new Orthopedic Hospital in Gumel</t>
  </si>
  <si>
    <t>The contract is ongoing in 2024 Q2</t>
  </si>
  <si>
    <t>Number of hospitals where special care baby, emergency pediatrics, Gynae emergency, and ICUs have been established, (Dutse, Gumel &amp; K/Hausa)</t>
  </si>
  <si>
    <t>Number of ward level PHCs newly constructed (2 at Gumel 4no at Hadejia)</t>
  </si>
  <si>
    <t>Number of midwife quarters that were upgraded</t>
  </si>
  <si>
    <t xml:space="preserve"> The upgrade of 37 midwives quarters by SMOH has been completed</t>
  </si>
  <si>
    <t>Number of upgraded midwife quarters that were furnished</t>
  </si>
  <si>
    <t>Percentage of the 281 ward level PHCs that were provided with functional solar lighting system</t>
  </si>
  <si>
    <t>Percentage of 281 ward level PHCs where neonatal resuscitating corners are established</t>
  </si>
  <si>
    <t>Gumel Gen. Hospital
KafinHausa Gen. Hospital
Dutse Gen. Hospital
Gwaram Gen. Hospital</t>
  </si>
  <si>
    <t>Schedule for Visit</t>
  </si>
  <si>
    <t>Commitment 2:  Improved Performance and Expanded Coverage of State Health Insurance Scheme</t>
  </si>
  <si>
    <t>Improved Performance and Expand Coverage of State Health Insurance Scheme</t>
  </si>
  <si>
    <t>Number of organized private sector that subscribe to health insurance scheme</t>
  </si>
  <si>
    <t>Proportion of persons benefiting from informal sector health insurance scheme</t>
  </si>
  <si>
    <t>Proportion of total population of the state ( formal and informal) that are enrolled into health insurance scheme</t>
  </si>
  <si>
    <t>Number of Services Covered under the State's Basic Health Insurance Scheme</t>
  </si>
  <si>
    <t>Annual Growth Rate in the Capital Base of the Insurance Scheme</t>
  </si>
  <si>
    <t>Commitment 3:  Pursuit of Interventions and Initiatives that Accelerate Progress towards the attainment of SDG Goal 3 concerned with ensuring healthy lives and promotion of well-being of the citizens. Specifically, this includes achieving Universal Health Coverage, Access to Quality Essential Basic Healthcare Services, Access to safe, effective, quality and affordable essential medicines.</t>
  </si>
  <si>
    <t>Strengthening Primary Healthcare Program for improved Coverage of Essential Health Services including Interventions around Maternal, Newborn &amp; Child Health, Infectious Diseases, Non-Communicable Diseases among the General Population. This includes the Strengthening of Routine Immunization, Vaccination, Antenatal Care Services and Nutrition Programs</t>
  </si>
  <si>
    <t>Percentage of ANC coverage at 1st visit</t>
  </si>
  <si>
    <t>Skill Birth Delivery attendance</t>
  </si>
  <si>
    <t>Percentage of Pregnant Women and Lactating Mothers Covered under the State's Maternal, Neonatal and Child Healthcare Program (including those covered under Health Insurance Scheme)</t>
  </si>
  <si>
    <t>Percentage of Pregnant Women and Lactating Mothers Covered under the State Government's Maternal Cash Transfer Program.</t>
  </si>
  <si>
    <t>Percentage of fully immunized children (1 year)</t>
  </si>
  <si>
    <t>Number of communities (12,000 villages) covered with community based nutritional (Masaki) Nutrition Program</t>
  </si>
  <si>
    <t>Percentage of Access/coverage of RuTF in Designated Centers for Community Management of Acute Malnutrition</t>
  </si>
  <si>
    <t>Percentage of children that received Vit A supplement</t>
  </si>
  <si>
    <t>Percentage of children U5 sleeping under LLIN</t>
  </si>
  <si>
    <t>Percentage of reduction of Malaria prevalence among children U5</t>
  </si>
  <si>
    <t>Percentage of women that are engaging in exclusive breastfeeding</t>
  </si>
  <si>
    <t>Access to Essential Medicines under Drugs Revolving System</t>
  </si>
  <si>
    <t>Reviewed and strengthened drug revolving system by ensuring that all essential drugs are made available to patients and make the system accountable</t>
  </si>
  <si>
    <t>Progress status in decreasing decapitalization of health facilities ( secondary and ward level PHCs)</t>
  </si>
  <si>
    <t>Proportion of health facilities recording DRF</t>
  </si>
  <si>
    <t>Percentage of health facilities (Secondary and ward level PHCs) with tracer drugs</t>
  </si>
  <si>
    <t>Achieve universal access to sexual and reproductive health-care services including for family planning, information and education, and the integration of reproductive health into the State’s Strategic Health Plans and Program</t>
  </si>
  <si>
    <t>Proportion of women of reproductive age (aged 15-49 years) who have their need for family planning satisfied with modern methods</t>
  </si>
  <si>
    <t>To review the indicatir for clarity</t>
  </si>
  <si>
    <t>Commitment 4:  Improve Emergency Response Capacity and Effective in the Mitigation and Containment of Epidemics including AIDS, Tuberculosis, Malaria and Other Water-borne and Communicable Diseases Enhanced including the Strengthening the Referral Systems</t>
  </si>
  <si>
    <t>Effectiveness of Health Emergency Response and Referral system</t>
  </si>
  <si>
    <t>Number of optimum Accident and Emergency Centers</t>
  </si>
  <si>
    <t>Progress status in domestication of NEMSAS policy</t>
  </si>
  <si>
    <t xml:space="preserve">Percentage of Effectiveness in Response and Containment of Incidences of Tuberculosis incidence per 1,000 population
</t>
  </si>
  <si>
    <t>Percentage of Effectiveness   in Response and Containment of Incidences Malaria incidence per 1,000 population
•Effective Response and Containment of Incidences of Meningitis incidence per 1,000 population</t>
  </si>
  <si>
    <t>Effective response and containment of incidences of Maningitis incidence per 1,000 population</t>
  </si>
  <si>
    <t>Percentage of Effectiveness in Response and Containment of Incidences of Cholera incidence per 1,000 population</t>
  </si>
  <si>
    <t>Percentage Progress in the prevention and treatment of drug and substance abuse</t>
  </si>
  <si>
    <t xml:space="preserve">Commitment 5:Sustained Improvement in the Recruitment, Training and Deployment of Human resources for Health </t>
  </si>
  <si>
    <t>Ensured fair distribution of medical personnel between urban and rural areas through the introduction of the whole rural incentive scheme</t>
  </si>
  <si>
    <t>Number of ward level PHCs with minimum HRH package</t>
  </si>
  <si>
    <t>Number of critical healthcare workers employed</t>
  </si>
  <si>
    <t xml:space="preserve">Number of Foreign Medical  Students under Bonding </t>
  </si>
  <si>
    <t>??</t>
  </si>
  <si>
    <t xml:space="preserve">
Number of Nurses and Midwives Graduating Annually from the State Health Training Institutions through the expansion of the enrolment capacity
</t>
  </si>
  <si>
    <t>Percentage Progress in the Implementation Task-shifting Policy.</t>
  </si>
  <si>
    <t>Percentage of Hard to Reach Facilities Fully Provided with Critical Medical Personnel through a Rational and Fair Staff Deployment Policy</t>
  </si>
  <si>
    <t>100</t>
  </si>
  <si>
    <t>Commitment: 6 Improved Planning of the State's Health System</t>
  </si>
  <si>
    <t>Health Financing, Planning and Management Information System</t>
  </si>
  <si>
    <t>Progress status in development of functional health information system and dashboard with real time data on healthcare management</t>
  </si>
  <si>
    <t>40</t>
  </si>
  <si>
    <t>Progress Level in the Coordination of Heath System Development Partnerships (25-Percentage Points each for Functional Health Partners Coordination Committee, Consolidated Health Partners Work Plan, Inclusion of Donor Support in Health Sector Plan / Budget, and Quarterly Reports</t>
  </si>
  <si>
    <t>65</t>
  </si>
  <si>
    <t>Progress Status in the Computerization of the State Health Systems (Hospital Operations and Management, Drug Revolving Fund Operations, and other Critical Aspects of the Health System</t>
  </si>
  <si>
    <t>Number of Partnerships and or Number of Ongoing Initiatives in the Area of Health Operational Research</t>
  </si>
  <si>
    <t>Progress in the Review of JICHMA Law to capture Health Equity Fund Operation / Guidelines, Employer Contribution and other Means of Enhancing the Scheme's Capital Base</t>
  </si>
  <si>
    <t>MINISTRY OF WATER RESOURCES</t>
  </si>
  <si>
    <t>OUTPUT LEVEL RESULT FRAMEWORK - MINISTRY OF WATER RESOURCES</t>
  </si>
  <si>
    <t xml:space="preserve">Commitmnent 1 - Achieve universal access to safe drinking water and sanitation services </t>
  </si>
  <si>
    <t>Jan. - Dec. Results</t>
  </si>
  <si>
    <t>Expansion of Water Supply Schemes across the State to achieve univeral coverrage</t>
  </si>
  <si>
    <t>Expansion / Upgrading and conversion of motorised schemes to solar powered of Urban Water Supply Schemes (54No. New Water Schemes Constructed)</t>
  </si>
  <si>
    <t>Remarks needed including some locations</t>
  </si>
  <si>
    <t>Construction of new solar powered water supply schemes in small town</t>
  </si>
  <si>
    <t>Conversion of motorised schemes to solar in small towm of the state</t>
  </si>
  <si>
    <t xml:space="preserve">To extend 1150km pipelines network across the state in small towns </t>
  </si>
  <si>
    <t>Expansion / Upgrading of Small Towns Water Supply Schemes (100No. Solar-powered Water Schemes Constructed)</t>
  </si>
  <si>
    <t>Remarks needed including some locations by LG</t>
  </si>
  <si>
    <t>Provision of Additional Rural Water Facilities hand pump water points provided)</t>
  </si>
  <si>
    <t>Actualization of Dutse Metropolitan Water Supply Project in line with Greater Dutse Water plan through the Completion of the Four Phases of the Project</t>
  </si>
  <si>
    <t>Phase 1 of the project includes review of design, Feasibilty studies, preperation of procurement documents. In addition to improvemet works currently on going</t>
  </si>
  <si>
    <t>Rehabilitation of Exisiting Water Supply Schemes</t>
  </si>
  <si>
    <t xml:space="preserve">Rehabilitation and upgrading of Urban Water Supply Schemes </t>
  </si>
  <si>
    <t>Some locations needed by LG</t>
  </si>
  <si>
    <t>Rehabilitation Small Towns Solar-Powered Supply Schemes (1,200)</t>
  </si>
  <si>
    <t>Rehabilitation of Exisiting Hand Pumps in Rural Communities</t>
  </si>
  <si>
    <t>Water Supply Schemes in the State Capital Maintenained and Expanded (Number of Schemes Provided, Rehabilitated or Improved)</t>
  </si>
  <si>
    <t xml:space="preserve">8No new setlight solar powered schemes,  8km pipekines reticulations, including replacement of booster and 29No additional boreholes </t>
  </si>
  <si>
    <t>Increased access to water supply</t>
  </si>
  <si>
    <t>Litres of water produced in urban</t>
  </si>
  <si>
    <t>Litres of water produced in small town</t>
  </si>
  <si>
    <t>Litres of water produced in rural communities</t>
  </si>
  <si>
    <t>Increased level of water supply in communities</t>
  </si>
  <si>
    <t>Litres of water supplied per capita per day in urban</t>
  </si>
  <si>
    <t>Litres of water supplied per capitaper day in small towns</t>
  </si>
  <si>
    <t>Litres of water supplied per capita per day in rural</t>
  </si>
  <si>
    <t>Increased access to sanitation and hygiene</t>
  </si>
  <si>
    <t>Develop and implement an Open Defecation Free (ODF) sustainability plan (Initiatives / Activities in the ODF Plan Implemented)</t>
  </si>
  <si>
    <t>What are the activities implemented in the ODF plan</t>
  </si>
  <si>
    <t>Functonality of ODF Multi-Sectoral Steering and Implementation Committees (Number of Meetings)</t>
  </si>
  <si>
    <t>Attendance sheet needed as evidence for each meeting</t>
  </si>
  <si>
    <t>Percentage of household with access to basic sanitation</t>
  </si>
  <si>
    <t>Percentage of households that observe basic hygiene practrices</t>
  </si>
  <si>
    <t>2023 WASH policy document finalised , implementation guide developed and implemented</t>
  </si>
  <si>
    <t xml:space="preserve">Progress in development of WASH policy documents </t>
  </si>
  <si>
    <t>WASH Policy reviewed to be published</t>
  </si>
  <si>
    <t>To view the reviewed policy (unpublished) as evidence</t>
  </si>
  <si>
    <t xml:space="preserve">Progress in development of WASH policy implementation guide documents </t>
  </si>
  <si>
    <t>WASH policy Implementation guide developed</t>
  </si>
  <si>
    <t>To view the level of the implemtation guide document</t>
  </si>
  <si>
    <t>Percentage of WASH policy implementation</t>
  </si>
  <si>
    <t>Evidence needed</t>
  </si>
  <si>
    <t>Community based organisation established and trained</t>
  </si>
  <si>
    <t>Percentage of established Water Consumer Association(WCAs) trained in small towns</t>
  </si>
  <si>
    <t>Percentage of Water Sanitation  and Hygiene committes strengthened</t>
  </si>
  <si>
    <t>Average Performance Rating</t>
  </si>
  <si>
    <t>Commitment 2 – Increased Investments in the Rehabilitation and Expansion of Irrigation Facilities and Infrastructure (Dams and Water Reservoirs)</t>
  </si>
  <si>
    <t>Existing 4 Nos dams and 2 Nos reservoir rehabilitated</t>
  </si>
  <si>
    <t>Existing 4No. Dams Rehabilitated or Desilted</t>
  </si>
  <si>
    <t>Location needed</t>
  </si>
  <si>
    <t>Existing  2No. Reservoirs rehabilitated</t>
  </si>
  <si>
    <t>No. of Water User Associations Established</t>
  </si>
  <si>
    <t>Where?</t>
  </si>
  <si>
    <t>River channels cleared and dredged</t>
  </si>
  <si>
    <t>Number of kilometers of Jekarade  river and ruwan garau cleared manually</t>
  </si>
  <si>
    <t xml:space="preserve">Commitment 3 – Achieve the provisions of SDG Goal 6 to ensure availability and sustainable management of water and sanitation for all
</t>
  </si>
  <si>
    <t>Accelerate the attainment of the SDGS as per access to safe drinking water is concerned</t>
  </si>
  <si>
    <t>Proportion of schools with access to basic drinking water</t>
  </si>
  <si>
    <t>Evidence needed.  How many schools in total and how many with access</t>
  </si>
  <si>
    <t>Proportion of schools with access to single-sex toilet facilities</t>
  </si>
  <si>
    <t>Proportion of schools with access to  basic handwashing facilities</t>
  </si>
  <si>
    <t>Proportion of population using safely managed drinking water services</t>
  </si>
  <si>
    <t>Proportion of population using safely managed sanitation services, including a hand-washing facility with soap and water</t>
  </si>
  <si>
    <t>What is the evidence?  How do you arrived to this pproportion?</t>
  </si>
  <si>
    <t>Percentage Outturn of water- and sanitation-related Official Development Assistance that is part of the Annual Approved Estimate</t>
  </si>
  <si>
    <t xml:space="preserve"> </t>
  </si>
  <si>
    <t>MINISTRY OF AGRICULTURE AND NATURAL RESOURCES</t>
  </si>
  <si>
    <t>OUTPUT LEVEL RESULT FRAMEWORK - MINISTRY OF AGRICULTURE AND NATURAL RESOURCES</t>
  </si>
  <si>
    <t xml:space="preserve">Commitment-1: Development and Protection of Grazing Reserves </t>
  </si>
  <si>
    <t>Jan. - Dec.  Results</t>
  </si>
  <si>
    <t>Grazing Reserves Developmet</t>
  </si>
  <si>
    <t>Hectares of Grazing Reserves Developed with Pastures</t>
  </si>
  <si>
    <t>No. of Water Points Provided in Grazing Reserves</t>
  </si>
  <si>
    <r>
      <t xml:space="preserve">Six (6) wind powered watering facilities have been successfully </t>
    </r>
    <r>
      <rPr>
        <sz val="11"/>
        <color rgb="FFFF0000"/>
        <rFont val="Times New Roman"/>
        <family val="1"/>
      </rPr>
      <t>converted to solar-powered systems</t>
    </r>
    <r>
      <rPr>
        <sz val="11"/>
        <color theme="1"/>
        <rFont val="Times New Roman"/>
        <family val="1"/>
      </rPr>
      <t xml:space="preserve"> in locations such as Zandauru, Tsakuwaram, Zuge Fulani and Arimari grazing reserve in Zinder Niger Republic. PICTURE ATTACHED </t>
    </r>
  </si>
  <si>
    <t>Grazing Protection</t>
  </si>
  <si>
    <t>No. of  Grazing Reserves Demarcated.</t>
  </si>
  <si>
    <t>Number of Grazing Reserves Gazetted</t>
  </si>
  <si>
    <t xml:space="preserve">Hectares of Grazing Reserves Retrieved </t>
  </si>
  <si>
    <t xml:space="preserve">Gwaram, Kiyawa and Dakaiyawa/Agin stock route </t>
  </si>
  <si>
    <t>Number of Sensitization and Town Hall Meetings on conflict management and conflict resolution conducted for Farmers and Herdsmen</t>
  </si>
  <si>
    <t xml:space="preserve">a) 1No. at Niger Republic (Zinder) between Jigawa and Niger
b) 3No. at 3 Senatorial districts covering 27 LGs PICTURE ATTACHED </t>
  </si>
  <si>
    <t>Overall Average Performance</t>
  </si>
  <si>
    <t>OUTPUT LEVEL RESULT FRAMEWORK - MINISTRY OF AGRICULTURE &amp; NATURAL RESOURCES</t>
  </si>
  <si>
    <t>Commitment 2: Development and sustained support for cluster farmers</t>
  </si>
  <si>
    <t>Establishment and Support for Cluster farms</t>
  </si>
  <si>
    <t>Number of Cluster farms Newly established</t>
  </si>
  <si>
    <t>Number of Farmers Supported under Newly Established Clusters</t>
  </si>
  <si>
    <t>Wheat (39,000No,), Rice (5,000No.), Others (1,000No.)</t>
  </si>
  <si>
    <t>Number of Previously Established Cluster farms Sustained</t>
  </si>
  <si>
    <t>Not Assessed</t>
  </si>
  <si>
    <t>Commitment 3: Support Capacity Enhancement for Value Addition in Agricultural Produce Processing and Marketing</t>
  </si>
  <si>
    <t>Grain processing devices procured</t>
  </si>
  <si>
    <t>Number of processing device provided</t>
  </si>
  <si>
    <r>
      <t xml:space="preserve">The processing device is </t>
    </r>
    <r>
      <rPr>
        <b/>
        <sz val="11"/>
        <rFont val="Times New Roman"/>
        <family val="1"/>
      </rPr>
      <t>Grinding machines PICTURE ATTACHED</t>
    </r>
  </si>
  <si>
    <t xml:space="preserve">Farmers capacity enahnced on processing of grains </t>
  </si>
  <si>
    <t>Number of training conducted on grain processing and marketing</t>
  </si>
  <si>
    <r>
      <t>Processing device (Grinding Machines) were distributed in 2 phases and each phase benefited from the</t>
    </r>
    <r>
      <rPr>
        <sz val="11"/>
        <rFont val="Times New Roman"/>
        <family val="1"/>
      </rPr>
      <t xml:space="preserve"> training</t>
    </r>
    <r>
      <rPr>
        <sz val="11"/>
        <color theme="1"/>
        <rFont val="Times New Roman"/>
        <family val="1"/>
      </rPr>
      <t xml:space="preserve"> on grain processing and marketing.
The trainings were conducted between  January to June 2024 (1st and 2nd phase)</t>
    </r>
  </si>
  <si>
    <t>Number of beneficiaries of the training programme</t>
  </si>
  <si>
    <t xml:space="preserve">After providing processing device 2 trainings were conducted on grain processing marketing  </t>
  </si>
  <si>
    <t>Youth and women 
trained on Agricultural product value addition</t>
  </si>
  <si>
    <t>Number of training conducted with youths and women on Agricultural product value chain</t>
  </si>
  <si>
    <t>4No. Trainings were conducted with a total beneficiary of 
1,730 farmers disagregated by crops.</t>
  </si>
  <si>
    <t>Commitment 4: Timely Access to Quality and Affordable Agricultural Inputs (fertilizer, seedlings, herbicides, insecticide, etc)</t>
  </si>
  <si>
    <t>Improved access to quality agric inputs at affordable /subsidize prize provided to farmers</t>
  </si>
  <si>
    <t xml:space="preserve">JASCO limited company provide fertilizer 3,643 mt for a farmers of Jigawa state out of a target of 4,372 for the year 2024 both dry and rain season </t>
  </si>
  <si>
    <t>Quantity of improved qualitty  inputs (Fertilizer)  supply at subsidize prize (mt)</t>
  </si>
  <si>
    <t>Quantity of improved quality  inputs (Chemicals)  supply at subsidize prize (lt)</t>
  </si>
  <si>
    <t>Quantity of improved quality  inputs (seeds)  supply  free of charge (mt)</t>
  </si>
  <si>
    <t>Quantity of improved quality  inputs (Fertilizer)  supply  free of charge (mt)</t>
  </si>
  <si>
    <t xml:space="preserve">20,611 number of benifisheries 2 bagof NPK/person and uria 1bag/per person </t>
  </si>
  <si>
    <t>Quantity of improved quality  inputs (Chemicals)  free of charge (lt)</t>
  </si>
  <si>
    <r>
      <rPr>
        <sz val="11"/>
        <color rgb="FFFF0000"/>
        <rFont val="Times New Roman"/>
        <family val="1"/>
      </rPr>
      <t>1 post emergance harbicide, 1 bottle of insecticide and 1 sechet of fungicide (LT)</t>
    </r>
    <r>
      <rPr>
        <sz val="11"/>
        <rFont val="Times New Roman"/>
        <family val="1"/>
      </rPr>
      <t xml:space="preserve"> </t>
    </r>
  </si>
  <si>
    <t>Number of beneficiaries of improved qualitty  inputs supply free of charge</t>
  </si>
  <si>
    <t xml:space="preserve">20,611 Is the numer that benifite from farming input free from NG CARES </t>
  </si>
  <si>
    <t>Commitment 5: Sustained Collaboration with partners in the Pursuit of Agrictural Trasformation Agenda of the State Government</t>
  </si>
  <si>
    <t>Improve collaboration to Deepened and Expanded Partnerships for Access to Finance, Technology and Technical Asistance</t>
  </si>
  <si>
    <t>No. of MoU Entered With Development Partners on Various Aspects of Agricultural Development</t>
  </si>
  <si>
    <t>Percentage level of MoU Implementation</t>
  </si>
  <si>
    <t>Implementation is ongoing on Profcom, Floormills, Harvest Plus, SG2000 and few others</t>
  </si>
  <si>
    <t>Percentage of Resources Mobilised in Relation to Amount Captured in the State Budget</t>
  </si>
  <si>
    <t xml:space="preserve">Revitilization of LIBCs </t>
  </si>
  <si>
    <t>Number of LIBCs Rehablitated and Revitilised to provide Public Services</t>
  </si>
  <si>
    <t>Veterinary. Clinics rehabilitated</t>
  </si>
  <si>
    <t>Number of Functional Vetrinary Clinics (Through rehablitation, staffing and working materials)</t>
  </si>
  <si>
    <t>More abattoir newly constructed</t>
  </si>
  <si>
    <t>Number of abattoirs newly constructed</t>
  </si>
  <si>
    <t>Goat breeding micro credit scheme conducted</t>
  </si>
  <si>
    <t>Number of Goats distributed through the Goat Breeding Program</t>
  </si>
  <si>
    <t>Number of Goats Retrieved / Revolved in the Goat Breeding Program</t>
  </si>
  <si>
    <t>Number of Women that Benefitted from the Goat Breeding Program</t>
  </si>
  <si>
    <t>Agric. Extension Service Delivery on Livestock Development Strengthened</t>
  </si>
  <si>
    <t xml:space="preserve">Number of Community Based Animal Health Workers (CBAHW) </t>
  </si>
  <si>
    <t xml:space="preserve">The number of Community Based Animal Health Workers (CBAHW) included newly recruited temporary Agents (J-AGRO) deployed to EAs
</t>
  </si>
  <si>
    <t>Number of Community Based Animal Health Workers (CBAHW) Equipped including Mobility</t>
  </si>
  <si>
    <t xml:space="preserve">300 Newly recruited temporaryCommunity Based Animal Health Workers provided with equipped motorcycles:
</t>
  </si>
  <si>
    <t xml:space="preserve">Commitment 7: Fisheries Development </t>
  </si>
  <si>
    <t>Development of Water Bodies and Support to Fishermen Associations</t>
  </si>
  <si>
    <t>Number of water bodies restocked with fingerlings</t>
  </si>
  <si>
    <t>Number of training conducted to fisher men association</t>
  </si>
  <si>
    <t xml:space="preserve">a) The trainings are scheduled to be conducted in Q3 after the fishermen are provided with fishing gears. 
b) The memo on the procurement of fishing gears will be submitted in the Q3. but no approval  </t>
  </si>
  <si>
    <t>Number of Fishing Gears Provided</t>
  </si>
  <si>
    <t>Memo has been writen in the Q3 quarter but no approval</t>
  </si>
  <si>
    <t>Number Participation in External Fishing Festivals including conduct of Local Ones</t>
  </si>
  <si>
    <t xml:space="preserve">Local Festival conducted at Auyo loca Government at Kalgwai village </t>
  </si>
  <si>
    <t>Commitment 8: Improve the Policy Environment for the Development of Agriculture in the State</t>
  </si>
  <si>
    <t>State Agriculture Policy</t>
  </si>
  <si>
    <t>Agricultural Policy Developed / Revised and Published</t>
  </si>
  <si>
    <t>Revision of State Agriculture Policy was completed, approved and published</t>
  </si>
  <si>
    <t>Data Generation for Agricultural Planning</t>
  </si>
  <si>
    <t>Number of farmers registered in a Farm and Farmer Database</t>
  </si>
  <si>
    <t xml:space="preserve">Registered farmers include all the farmers who are involed in dry and rainy season </t>
  </si>
  <si>
    <t>Number of farms registered in the Database</t>
  </si>
  <si>
    <t xml:space="preserve">Millet, sorghum, cowpea, ground nut and sesame.  These are  the major crops capturing the total production in the state </t>
  </si>
  <si>
    <t xml:space="preserve">Commitment 9: Farmer Support in Accesing Agricultral Financing </t>
  </si>
  <si>
    <t>Establish linkage between farmers and financial institution</t>
  </si>
  <si>
    <t>Number of financial institutions that are linked with farmers</t>
  </si>
  <si>
    <t>Number of Farmers that have accessed Agricultural Financing</t>
  </si>
  <si>
    <t xml:space="preserve">Commitment 10: Revitalize and strengthen the State Agricultural &amp; Rural Development Agency </t>
  </si>
  <si>
    <t>Strengthened the Institutional and Technical Capacity of JARDA to Deliver Quality Agricultural Support to Farmers.</t>
  </si>
  <si>
    <t>Number of staff that are profesionally qualified for their job position</t>
  </si>
  <si>
    <t>551 qualified as at 1st &amp; 2nd Quarter  due to their working experience</t>
  </si>
  <si>
    <t>Number of staff trained for skill enhancement</t>
  </si>
  <si>
    <t>Provision of working materials (mobility)</t>
  </si>
  <si>
    <t xml:space="preserve">Working materials were purchased but yet to bedistributed </t>
  </si>
  <si>
    <t>Number of Zonal Offices Revitalised and Functional</t>
  </si>
  <si>
    <t>Agric. Extension Service Delivery on Crop Production Strengthened</t>
  </si>
  <si>
    <t>Number of Agricultural Extention Agents Provided or Recruited</t>
  </si>
  <si>
    <t xml:space="preserve">The number of Extension Agents included newly recruited temporary Agents (J-AGRO) deployed to EAs
</t>
  </si>
  <si>
    <t>Farmer - Extension Worker Ratio</t>
  </si>
  <si>
    <t>Number of Agric. Extension Agents Provided with Necessary Working Materials including Mobility</t>
  </si>
  <si>
    <t xml:space="preserve">Only CBHW provided with working mobility but other Jagro will be distributed later but the mobility is on ground </t>
  </si>
  <si>
    <t>Agricultural Research and Technology Adaptation</t>
  </si>
  <si>
    <t>Number of New Agricultural Technologies / Research Outputs Introduced to Farmers for adaptation</t>
  </si>
  <si>
    <t xml:space="preserve">New technology introduced include improved seeds varieties for rice and wheat as well millets and sorghum
</t>
  </si>
  <si>
    <t>Number of New Agricultural Technologies / Research Outputs Introduced to Farmers for adapted</t>
  </si>
  <si>
    <t xml:space="preserve">Cluster programe and other mechnisation machine </t>
  </si>
  <si>
    <t>Women In Agriculture</t>
  </si>
  <si>
    <t>Number of Women reached in the Activities of WIA Operations</t>
  </si>
  <si>
    <t xml:space="preserve">There are 25 WIA Associasions  in the state and each group has 100 members </t>
  </si>
  <si>
    <t xml:space="preserve">Commitment 11: Strengthen and expand the operations of the State Agricultural Supply to farmers. </t>
  </si>
  <si>
    <t>Expansion of operational activities of JASCO</t>
  </si>
  <si>
    <t>JASCO Recapitalised as measured by Recapitalization Amount of fund released (in Billions)</t>
  </si>
  <si>
    <r>
      <t xml:space="preserve">JASCO is a limited lability company recapitalized with a total sum of </t>
    </r>
    <r>
      <rPr>
        <b/>
        <sz val="11"/>
        <color theme="1"/>
        <rFont val="Times New Roman"/>
        <family val="1"/>
      </rPr>
      <t>N5 billion</t>
    </r>
    <r>
      <rPr>
        <sz val="11"/>
        <color theme="1"/>
        <rFont val="Times New Roman"/>
        <family val="1"/>
      </rPr>
      <t xml:space="preserve"> to support its core mandate of supplying improved input to Jigawa state farmers at affordable prices
</t>
    </r>
    <r>
      <rPr>
        <sz val="11"/>
        <rFont val="Times New Roman"/>
        <family val="1"/>
      </rPr>
      <t>N5 billion was collected in three (3) instalment (January, March and April, 2024) as recapitalization.</t>
    </r>
  </si>
  <si>
    <t>Turnover in Sales</t>
  </si>
  <si>
    <t>Profitability</t>
  </si>
  <si>
    <t>Commitment 12: Exploit the State’s Agricultural Potentials through Agricultural Mechanization  and  Irrigation Development</t>
  </si>
  <si>
    <t>All irrigation schemes in the State rehabilitated</t>
  </si>
  <si>
    <t>Number of irrigation scheme Rehabilitated</t>
  </si>
  <si>
    <t>Irrigation schemes rehabilitated are:
a) Auyo, 
b) Miga and
c) Gwaram 
Achievement was due to timely commencement of the process, approval and release of the funds 
In addition, 10No. Dams were redesigned for rehabilation expected to be conducted by ACRISAL</t>
  </si>
  <si>
    <t>Mechanization</t>
  </si>
  <si>
    <t>Number of the purchased tractors that were  distributed to farmers</t>
  </si>
  <si>
    <t>60 number tractors were distributed to farmers across the state by JASCO and 6No. Are kept in the Ministry for hiring services to farmers</t>
  </si>
  <si>
    <t>Number of the purchased Combined Harvesters that were  distributed to farmers</t>
  </si>
  <si>
    <t>Distributed to farmers by JASCO</t>
  </si>
  <si>
    <t>Number Other Assorted Labour-Saving Devices</t>
  </si>
  <si>
    <t>Number of Agricultural Mechanization Centers Established</t>
  </si>
  <si>
    <t>Commitment 6: Increase Market Access and International Trade Opportunities</t>
  </si>
  <si>
    <t>More Trade Associations captured in Database</t>
  </si>
  <si>
    <t>Number of Trade Associations Captured in Database</t>
  </si>
  <si>
    <t>Capacity building of Tradeassociations in the database conducted</t>
  </si>
  <si>
    <t xml:space="preserve">Number Capacity building sessions conduted with the Trade associations in the database </t>
  </si>
  <si>
    <t>Commitment 7: Support the operation of Jigawa State Chamber of Commerce to drive the growth of Trade and Industries in the State.</t>
  </si>
  <si>
    <t xml:space="preserve">Grants and Loans accessed by the members of trade trade associations that have been captured in the Ministry of Commerce Database </t>
  </si>
  <si>
    <t>Amount of grants accessed by the trade associations that were trained in collaboration with financial Institutions on business financing</t>
  </si>
  <si>
    <t>Amount of Loan accessed by the trade associations that were trained in collaboration with financial Institutions on business financing</t>
  </si>
  <si>
    <t>Commitment 8: Capitalize Cooperatives, Agriculture-based Association and Social Enterprises Development</t>
  </si>
  <si>
    <t>Enhanced enterprenureship  skills of Cooperatives and Agriculture based association that are already in the Ministry database</t>
  </si>
  <si>
    <t>Number of informamal sector clustered Artisans that are registed for sub- contracting with the big contractors</t>
  </si>
  <si>
    <t>OUTPUT LEVEL RESULT FRAMEWORK - Ministry of Works</t>
  </si>
  <si>
    <t>Commitment 1: Continue provision of Critical Infrastructure including Regional and Township Roads, Bridges/Culverts for Inclsuive and Sustainable Economic Growth and improved Socieconomic Welbeing of the People. This includes new constructions, rehabilitation and routine maintenance.</t>
  </si>
  <si>
    <t>Road Infrastructure Expanded</t>
  </si>
  <si>
    <t>Number of kilometer of township roads constructed</t>
  </si>
  <si>
    <t>Number of kilometer of feeder roads constructed</t>
  </si>
  <si>
    <t>Number of Major Box Culverts/Bridge constructed</t>
  </si>
  <si>
    <t>Number of kilometer of regional roads Maintained</t>
  </si>
  <si>
    <t>Number of kilometer of township roads Maintained</t>
  </si>
  <si>
    <t>Number of kilometer of feeder roads Maintained</t>
  </si>
  <si>
    <t>JIGAWA STATE MINISTRY OF BUDGET &amp; ECONOMIC PLANNING</t>
  </si>
  <si>
    <t xml:space="preserve">Results No. </t>
  </si>
  <si>
    <t>Jan -Dec Actuals</t>
  </si>
  <si>
    <t>Remarks / Evidances</t>
  </si>
  <si>
    <t>The scope of development support and technical assistance with International Development Partners widened</t>
  </si>
  <si>
    <t>List of Development Partners available</t>
  </si>
  <si>
    <t>Number of Programmes being supported by Development Partners in the State (exisiting and new).</t>
  </si>
  <si>
    <t>Programmes supported by Development Partners provided</t>
  </si>
  <si>
    <t>Increase in the Quantum of Resources coming to the State from Development Partners</t>
  </si>
  <si>
    <t>Percentage of financing gap of State Development plan filled by the ODA</t>
  </si>
  <si>
    <t>Functionality of Development Partners Forum (Percentage of Quarterly Meetings Conducted)</t>
  </si>
  <si>
    <t>Extent of JIMAF Implementation across MDAs and Initiatives</t>
  </si>
  <si>
    <t>Assumed</t>
  </si>
  <si>
    <r>
      <rPr>
        <b/>
        <sz val="12"/>
        <color theme="1"/>
        <rFont val="Calibri"/>
        <family val="2"/>
      </rPr>
      <t>Commitment 2: Improved Governance &amp; Accountability through sustained Public Expenditure and Financial Management Reforms / Fiscal Sustainability.</t>
    </r>
    <r>
      <rPr>
        <b/>
        <sz val="12"/>
        <color rgb="FFFF0000"/>
        <rFont val="Calibri"/>
        <family val="2"/>
      </rPr>
      <t xml:space="preserve"> </t>
    </r>
  </si>
  <si>
    <t>Establishment of a Functional PFM Core Group to Sustain Fiscal and Financial Management Reforms.</t>
  </si>
  <si>
    <t>Functionality of PFM Core Group (Minmum of 4 Quarterly Meetings and 2 Key Governance Reform Activities such as Training Workshops)</t>
  </si>
  <si>
    <t>Conduct of Annual Report on Rapid Performance Assessment of PFM Indicators and Percentage Target Score of 75%</t>
  </si>
  <si>
    <t>RAPID PFM Assessment Not condicted</t>
  </si>
  <si>
    <t>Bi-annual Reports on the Implementation of PFM Reform Sustainability Plan by the Core Group</t>
  </si>
  <si>
    <t>No report available</t>
  </si>
  <si>
    <t>Citizens Engagement in PFM Reforms</t>
  </si>
  <si>
    <t>Functionality State OGP ( 4No. Quaterly Meetings, and 2 bi-annual reports on the Implementation &amp; Monitoring State OGP Work Plan</t>
  </si>
  <si>
    <t xml:space="preserve">Extent of Citizens Participation in Governance   </t>
  </si>
  <si>
    <t>Citizens are fully engaged in participating in Governance across all the three senatorial zones through the Town Hall meetings to generate citizens inputs for annual budgeting processes.</t>
  </si>
  <si>
    <t>Commitment 3: Pursuit of Annual Planning and Budget Processes in line with the provisions of the State Budget Calander.</t>
  </si>
  <si>
    <t>Timely Completion of all specific milestones covered in the Budget Calander</t>
  </si>
  <si>
    <t>Timely Publication of Quaterly Budget Implementation Reports</t>
  </si>
  <si>
    <t>Implementation Reports for all quarters (Q1 - Q4) published accordingly.</t>
  </si>
  <si>
    <t>Milestones in the Budget Calander</t>
  </si>
  <si>
    <t>MTEF and Budget Circular Timely Issued with Cielings. ASPER conducted</t>
  </si>
  <si>
    <t>Commitment 4: Expand the Coverage of Social Protection Program by bringing more people into the social register for poor and vulnerable citizens.</t>
  </si>
  <si>
    <t>More poor and vulnerable Households covered in the State Social Register</t>
  </si>
  <si>
    <t>Percentage of Communities Covered by the State Social Register</t>
  </si>
  <si>
    <t>Due to additional of round 12 data on NSR</t>
  </si>
  <si>
    <t>Percentage of Poor and vulnerable Household Covered in the State Social Register</t>
  </si>
  <si>
    <t>Due to approval of the round 12 data for poor and vulnerable households, and also merging of NSR and RRR</t>
  </si>
  <si>
    <t>Percentage of the State's Population Covered in the social register</t>
  </si>
  <si>
    <t xml:space="preserve">More coverage to be achieved on poor and vulnarable households in the provision  of basic social services, including the elderly and the most vulnerable segment of the state </t>
  </si>
  <si>
    <t>Percentage of coverage of the poor and vulnarable households that include elderly and the most vulnarable segment in the social register</t>
  </si>
  <si>
    <t xml:space="preserve">Percentage of already empowered poor and vulnarable households that exists the social register </t>
  </si>
  <si>
    <t>NG-CARES and other social protection interventions</t>
  </si>
  <si>
    <t>MINISTRY FOR LOCAL GOVERNMENT &amp; COMMUNITY DEVELOPMENT</t>
  </si>
  <si>
    <t xml:space="preserve">Commitment 1: Strengthen Community Based Security Architecture
</t>
  </si>
  <si>
    <t>No. of 
Ops</t>
  </si>
  <si>
    <t>No. of 
RAs</t>
  </si>
  <si>
    <t>Community Guards Coordinating Unit established and Fuctional at State and Local Governments</t>
  </si>
  <si>
    <t>Number of Local Governments Councils that have Functional Community Guards Coordinating Units.</t>
  </si>
  <si>
    <t>Commitment 2: Launch the Community Peace Initiative (CPI)as a Performance-based grant to improve service delivery and overall socioeconomic development at the Community level</t>
  </si>
  <si>
    <t>Support Community Based Projects across the State</t>
  </si>
  <si>
    <t>Number of Community Led Projects Financed</t>
  </si>
  <si>
    <t>There are twenty one  (21)No. Community Led Project Financed in the Ten ( 10) LGAs in the State. The Supported Communities include the following:
1 - Kungiyar Cigaban Kewaye, Lafiya Ward - The Constructed a Mosque to Linter Stage.
2 - Lafiya Youth Association - The Constructed a Mosques to Linter Stage.
3 - Birnin Kudu Youth Association - They Planted 2,000 Trees at FMC Birnin Kudu New Site.
4 - Mafitar Matasan Birnin Kudu Yau da Gobe - They Cleared Grave Yard at Birnin Kudu and Cleared Grasses at Birnin kudu General Hospital.
5 - Kaugama Development Association - Support in the Completion of Kaugama Central Mosque.
6 - Gawon Bariki Development Association (Dakayyawa) - The Constructed Islamiyya School to Linter Statge.
7 - Hospital Friends Committee - The Constructed One Block to Linter Stage at Kafin HausaaGenenal Hospital.
8 - Dantanoma Self-Help Group - The Constrcted Islamiyya School to Linter Stage.
9 - Mele Development Association - They Constructed Mosque to Linter Stage.
10 - Maigatari Development Association - They Constructed Mosque to Linter.
11 - Maigatari Foundation - They Constructed Islamiyya School to Linter Statge.
12 - Sabuwar Unguwar Kiyawa Self-help Group - They Constructed Mosque to Linter Stage.
13 - Kungiyar Cigaban Unguwar Galadanci - They Constructed 1/3 Mosque.
14 - Gumel Emirate Foundation - Four LGAs from the emirate Renovated and completed the Main Building and Guess Rooms for the Organistion.</t>
  </si>
  <si>
    <t>9- MELE DEVELOPMENT ASSOCIATION. They Constructed Mosque to Linter Stage.
10- MAIGATARI DEVELOPMENT ASSOCIATION. They Constructed Mosque to Linter.
11- MAIGATARI FOUNDATION. They Constructed Islamiyya School TO Linter Statge.
12- SABUWAR UNGUWA KIYAWA SELP-HELP GROUP. They Constructed Mosque to Linter Stage.
13- KUNGIYAR CIGABAN UNGUWAR GALADANCI. They Constructed 1/3 Mosque.
14- GUMEL EMIRATE FOUNDATION .four LGAs from the emirate Renovated and completed the Main Building and Guess Rooms for the Organistion</t>
  </si>
  <si>
    <t xml:space="preserve">15- BIRNIN KUDU YOUTH ASSOCIATION (B.Y.A) has constructed Islamiyya to Linter Stage and Completed by the Birnin Kudu Local Govt. 
16 - MURYA BIRNIN KUDU has renovated 2blocks at Zango Primary School Birnin Kudu
17 - KAYA DEVELOPMENT ASSOCIATION Garki  L.G Constructed Friday Mosque to Linter at KAYA Village
18 - NATO MOTOR PARK DUTSE L.G constructed a Five (5) daily prayer Mosque to linter stage at the Motor park.
19 - SULE TANKARKAR SERLF GROUP: Constructed a five (5) daily Prayer Mosque to Completion Stage at Sule Tankarkar Town.
20 - ALTIMA MALAM UBALI SEVEN DEVELOPMENT ASSOCIATION : Constructed 1block of Islamiyya school to completion stage at Babura Town
21 - LAFKA SELF HELP GROUP Kaugama LG Constructed a five daily Prayer Mosque To Completion Stage at Kagama.
</t>
  </si>
  <si>
    <t xml:space="preserve">Commitment 3: Create an Elders Advisory Committee (ELCO) in every Local Government to Advise Government On variours government programs and implementations strategies for </t>
  </si>
  <si>
    <t xml:space="preserve">Elders Advisory Committee Fuctional in the 27 Local Governments </t>
  </si>
  <si>
    <t>Number of Locsl Government Councils with Functional Elders Advisory Committee.</t>
  </si>
  <si>
    <t xml:space="preserve">We mobilised self help Group  and Development Associations Toward Communty engagement in Government Policies and Objectives at 6 Local Government of the state.
The six Local Government Include: HADEJIA, BIRNIN KUDU, GUMEL, KAZAURE, KIYAWA AND RINGIM.
- The Elders Advisory Committe Established in OCTOBER 2024 and the Names of the Community Members will be collected after the completion of the 21 Local Government of the State for inauguration by FEB 2025  and Functional at the same Month.
- There is also a refresentatives of One persons from each Wards Across the State and the committee set of 2 women as Gender Refresentatives from each LG.
- Therefore the Committee consisted of 12No. Persons From each Local Government.
</t>
  </si>
  <si>
    <t>Commitment 4: Entrench an effective financial management system alongside improved policy and strategy across all the Local Governments  with the support and collaboration with Development Partners.</t>
  </si>
  <si>
    <t>Development Plan Formulated for the 27 Local Governments.</t>
  </si>
  <si>
    <t xml:space="preserve">Percentage of LGA that have Developed First Generation Local Government Development Plan (LGDP) </t>
  </si>
  <si>
    <t>All the 27 LGCs  have Developed First Generation Local Government Development Plan, and the   Validation and Printed will soon be undertaken</t>
  </si>
  <si>
    <t>Percentage of LGA that upgraded their Annual Buddget to IPSAS Standards based on National Chart of Accounts</t>
  </si>
  <si>
    <t>All the 27 LGCs has upgraded their programmers of budgeting  to the IPSAS Accounting Standards and 2023 , 2024 and 2025 Budget are in form of IPSAS .</t>
  </si>
  <si>
    <t xml:space="preserve">                                                                                                                                                                                   </t>
  </si>
  <si>
    <t>Commitment-5: Sustain street light maintenance across all the 27 LGAs</t>
  </si>
  <si>
    <t>Average number hours Streetlights function on a daily Basis</t>
  </si>
  <si>
    <t>The Streetlight are Functioning 11 Hours  daily but initial Hours is from 6 to 6, due to change of whether, sometime Longer day shorter night.</t>
  </si>
  <si>
    <t>Number of Diesel Streetlight Projects Converted to Solar</t>
  </si>
  <si>
    <t xml:space="preserve"> No any Diesel Streetlight Converted to Solar, but resolved to be undertaken in 2025 fiscal year and were already captured in the Approved Budget. There are 10 LGAs that areto be covered.   The LGAs Include: GUMEL, HADEJIA, RINGIM, KAZAURE, RONI, AUYO, GAGARAWA, TAURA, KAFIN HAUSA AND KIYAWA .</t>
  </si>
  <si>
    <t>Number of days before non-funtional Streetlights in LGAs are Fixed.</t>
  </si>
  <si>
    <t xml:space="preserve">Is Fourteen Days  (14) before non-Functional Streetlights in LGCs are Fixed  Armour Cables are Regularly Distributed to all 27 Local Governments according to their demand </t>
  </si>
  <si>
    <t>Performance based grants given to CPIs for peace keeping performance</t>
  </si>
  <si>
    <t>Commitment 3: Empower the traditional institutions to maintain and regularly update the data of residents and newcomers to curtail and prevent the infiltration of criminals</t>
  </si>
  <si>
    <t>Database of residents in the State updated</t>
  </si>
  <si>
    <t>Improve residents perception of trust on the law enforcement agencies</t>
  </si>
  <si>
    <t>Residents perception on confidence in security enforcement agencies (opinion pool)</t>
  </si>
  <si>
    <t>Community Security guards officers intigated into the police system</t>
  </si>
  <si>
    <t>OUTPUT LEVEL FRAMEWORK - OFFICE OF THE HEAD OF SERVICE</t>
  </si>
  <si>
    <t>Commitment-1: Sustain Improvement of Public Service Delivery through an optimized State Civil Service by the Principles of rewards and sanctions</t>
  </si>
  <si>
    <t>Enhanced Personnel and Organizational Productivity through their mandates, job descriptions and performance target with Annual State Productivity Awards</t>
  </si>
  <si>
    <t>Organisational Productivity Level</t>
  </si>
  <si>
    <t>What is the yardstick of measurement?</t>
  </si>
  <si>
    <t>No. of staff that are rewarded for recorded outstanding performance</t>
  </si>
  <si>
    <t>Is he a staff or citizen of Jigawa State?</t>
  </si>
  <si>
    <t>No. of staff that are sanctioned for recorded poor performance</t>
  </si>
  <si>
    <t>No of MDAs introduced to Corporate Planning</t>
  </si>
  <si>
    <t>The organisational structures functions and mandates of MDAs superviced by HoS have been completed</t>
  </si>
  <si>
    <t>Executive Orders Issued on Development and Implementation of Service Charters in MDAs (No. of E.O Provisions implemented</t>
  </si>
  <si>
    <t>Servicom will soon be reactivated</t>
  </si>
  <si>
    <t xml:space="preserve">Number of comprehensive service charters in MDAs (New and Reviewed)  with bi-annual report from SERVICOM </t>
  </si>
  <si>
    <t>Commitment 2: Merit based Staff Recruitment in Ministries, Departments and Agencies (especially in professional and technical cadres) to fill critical manpower gaps in public service and other sectors to allow for optimal performance</t>
  </si>
  <si>
    <t>New staff recruitment to fill criticall manpower gaps especially in Public Service Delivery Sectors</t>
  </si>
  <si>
    <t>% of staff needs that are met  through recruitments across all MDAs</t>
  </si>
  <si>
    <t>This is looking for the staff needs of all MDAs in the State and what % of such needs were met.</t>
  </si>
  <si>
    <t>% of Recruited staff that are females</t>
  </si>
  <si>
    <t>% of Recruited staff that are people with disabilities</t>
  </si>
  <si>
    <t>Skill/Manpower Gaps Analysis conducted across all MDAs and periodically updated (Number of MDAs covered / reviewed)</t>
  </si>
  <si>
    <t>80 mainstream MDA workforce planning has been completed, the remaining 11 are tertiary instituitions and some health facilities</t>
  </si>
  <si>
    <t xml:space="preserve">Evidence needed - the MPA document </t>
  </si>
  <si>
    <t>Commitment-3: Ensure effectiveness and Sustainability of the State Pension Schemes</t>
  </si>
  <si>
    <t xml:space="preserve"> Gratuity and Monthly Pension paid as when due</t>
  </si>
  <si>
    <t>Percentage of retired staff paid their gratuity as when due</t>
  </si>
  <si>
    <t>Percentage of retired staff paid their monthly pension as when due</t>
  </si>
  <si>
    <t>17,029 pensioners were paid the sum of N6,965,912,178.17</t>
  </si>
  <si>
    <t>Commitment-4: Manpower and Human Resource Development in the State Public Service to ensure that MDAs are manned and managed by competent, proficient and skilled manpower</t>
  </si>
  <si>
    <t>Human Recource Development in the State Public Service to ensure it is manned and managed by competent proficient, and skilled manpower in-line with the professional standards demanded by the peculiarities of each cadre for optimal performance</t>
  </si>
  <si>
    <t>No of training programmes implemented by the State MDI across various cadres in the State Civil Service</t>
  </si>
  <si>
    <t>Mention them (the training programmes)</t>
  </si>
  <si>
    <t>Number of Civil Servants Trained by State MDI across all MDAs covering various cadres</t>
  </si>
  <si>
    <t>902 Inservice Training - 16 Doctors on Residency Training were sponsored</t>
  </si>
  <si>
    <t>Number of staff trained through professional bodies on their task related skills</t>
  </si>
  <si>
    <t>Funds are limited to revolving payment of professional loan: N11,200,000 was paid to 32 applicants</t>
  </si>
  <si>
    <t>What is does this has to do with personal loan to staff?</t>
  </si>
  <si>
    <t>Repositioned and Improved Perforamance of the State MDI as assessed by No. of programmes mounted by the Institute across State MDAs, LGAs and others</t>
  </si>
  <si>
    <t>??????</t>
  </si>
  <si>
    <t>Repositioned and Improved Perforamance of the State MDI as assessed by No. of people trained by the Institute across State MDAs, LGAs and others</t>
  </si>
  <si>
    <t xml:space="preserve">The breakdown of additional 49 is as follows 32 Computer Certificate - 13 Professional Diploma and 4 Coding </t>
  </si>
  <si>
    <t>Annual growth in revenues generated by MDI</t>
  </si>
  <si>
    <t>Resuscitated State Manpower Committee as assessed by qualitative bi-annual reports submitted to the State Executive Council</t>
  </si>
  <si>
    <t>STATE INTERNAL REVENUE SERVICE</t>
  </si>
  <si>
    <t>Commitment: Sustained Improvement in the Effeciency and Effectiveness in Internal Revenue Administration, Management and Performance</t>
  </si>
  <si>
    <t>Improved Efficiency of Revenue Collection System</t>
  </si>
  <si>
    <t>Tax Payer Database said to increase from 5,500 in December 2023 to 22,800 as at December 2024</t>
  </si>
  <si>
    <t>Number of New Taxpayers captured within the Database system</t>
  </si>
  <si>
    <t xml:space="preserve"> Number of revenue leakage points eliminated</t>
  </si>
  <si>
    <t>% progress in automation of all revenue collection and accounting processes and systems</t>
  </si>
  <si>
    <t xml:space="preserve">Improved Effeciency of Tax Policy and Revenue Administration </t>
  </si>
  <si>
    <t xml:space="preserve">Number of informal sector Artisan formed into skills clusters </t>
  </si>
  <si>
    <t>Informal sector artisans 850No. broken down into 34 clusters attached to apppropriate contractors</t>
  </si>
  <si>
    <t>% of informal sector clustered Artisans that are  registered for sub-contracting with big contractors</t>
  </si>
  <si>
    <t>All the 34 clusters  artisans were registered for subcontracting with big contractors</t>
  </si>
  <si>
    <t>Percentage of the registered informal sector artisans paired for sub-contracting with big contractors</t>
  </si>
  <si>
    <t>The state listed and clustered informal artisans and are being paired with big contractors, the 24 clusters are almost exusted</t>
  </si>
  <si>
    <t xml:space="preserve">Percentage of the registered informal sector artisans integrated into the Tax system </t>
  </si>
  <si>
    <t>The Jigawa Engagement and Enlightenment are presently on field caturing  the informal artisan in to the JIGITAS</t>
  </si>
  <si>
    <t>Number of the markets that signs Tax-for-Service agreement for piloting</t>
  </si>
  <si>
    <t>Number of Tax for Service Initiatives Implemented</t>
  </si>
  <si>
    <t>Percentage of Grievance Received and Timely Addressed on Matters concerning Revenue Administration</t>
  </si>
  <si>
    <t xml:space="preserve">key concerns include Road Taxes administration, Filling returns, accessing the JIGITAS, </t>
  </si>
  <si>
    <t>Improvement in IGR Collection</t>
  </si>
  <si>
    <t>Percentage of Annual Increase in Actual Outturn in State Taxes</t>
  </si>
  <si>
    <t>Percentage of Annual Increase in Non-Public Sector PAYEE OnlyActual Outturn based on Published Budget Implementtion Reports</t>
  </si>
  <si>
    <t>the 2023 actual payee (non ublic sector) was 600,949,239.55 while that of 2024 as at december 2024 was 784,734,060.55</t>
  </si>
  <si>
    <t>Effeciency and Effectiveness of Revenue Monitorining Across MDAS as measured by Quarterly Published Reports by MoF &amp; JSIRS</t>
  </si>
  <si>
    <t>considering the 60% increased MDA collections the monitoring was effective and efficient</t>
  </si>
  <si>
    <t>Progress in the Implementation of Presumptive Tax Regime</t>
  </si>
  <si>
    <t>Prevention and Resolution of Farmers-Herdmen Conflcts</t>
  </si>
  <si>
    <t>a) Vaccination of 565,000 covers:
i) Cattle             - 165,000
ii) Sheep / Goats - 400,000 
This was conducted early January to March
b) 280,616 vaccinated for antraxantrax september  2024.</t>
  </si>
  <si>
    <t>Three (3) Water Bodies Restocked out of the targetted Six (6).  Out of 3,003 water bodies in the state, 3 number were  restocked in Birnin kudu, Ringim and Hadejia</t>
  </si>
  <si>
    <r>
      <t>Ministry trained 300</t>
    </r>
    <r>
      <rPr>
        <sz val="11"/>
        <color rgb="FFFF0000"/>
        <rFont val="Times New Roman"/>
        <family val="1"/>
      </rPr>
      <t xml:space="preserve"> </t>
    </r>
    <r>
      <rPr>
        <sz val="11"/>
        <color rgb="FF000000"/>
        <rFont val="Times New Roman"/>
        <family val="1"/>
      </rPr>
      <t>CBHW and JARDA trained 1,035</t>
    </r>
    <r>
      <rPr>
        <sz val="11"/>
        <color rgb="FFFF0000"/>
        <rFont val="Times New Roman"/>
        <family val="1"/>
      </rPr>
      <t xml:space="preserve"> </t>
    </r>
    <r>
      <rPr>
        <sz val="11"/>
        <color rgb="FF000000"/>
        <rFont val="Times New Roman"/>
        <family val="1"/>
      </rPr>
      <t>J-Agro at Fanisau NYSC camp on 6/6/2024 and J-Agro done their training on July 2024</t>
    </r>
  </si>
  <si>
    <t>4 zonal offices were revitalised by JARDA (B/Kudu, Hadejia, Kazaure and Gumel)</t>
  </si>
  <si>
    <r>
      <t>Commitment 1</t>
    </r>
    <r>
      <rPr>
        <b/>
        <sz val="12"/>
        <color theme="1"/>
        <rFont val="Arial Narrow"/>
        <family val="2"/>
      </rPr>
      <t>: Commitment 1: Mobilization of Local and International Development Organizationand Effective Donor coordination</t>
    </r>
  </si>
  <si>
    <t>CRITICAL INFRASTRUCTURE SECTOR (ROADS &amp; TRANSPORT DEVELOPMENT)</t>
  </si>
  <si>
    <t xml:space="preserve">MINISTRY FOR SPECIAL DUTIES </t>
  </si>
  <si>
    <r>
      <rPr>
        <b/>
        <sz val="12"/>
        <color theme="1"/>
        <rFont val="Times New Roman"/>
        <family val="1"/>
      </rPr>
      <t>Commitment 1 - E</t>
    </r>
    <r>
      <rPr>
        <b/>
        <sz val="12"/>
        <color theme="1"/>
        <rFont val="Arial Narrow"/>
        <family val="2"/>
      </rPr>
      <t>ffectively and Effeciently Execute Emergency Response &amp; Prepraredness in dealing with any form of disaster or emergencies in the State</t>
    </r>
  </si>
  <si>
    <t xml:space="preserve">RAs No. </t>
  </si>
  <si>
    <t>Improved Effeciency and Effectiveness of Emergency relief and Disaster Mangement</t>
  </si>
  <si>
    <t>Timeliness in Response to Disaster Occurance</t>
  </si>
  <si>
    <t>Number of MoUs signed with either Local or international Partners on disaster management</t>
  </si>
  <si>
    <t>Percentage of household victims that received relief package during emergency</t>
  </si>
  <si>
    <t>State emergency policy developed and operationalised</t>
  </si>
  <si>
    <t xml:space="preserve">Emergency mangement committee established at State level in 27 local Government and at a ward level in specific flood-prone areas </t>
  </si>
  <si>
    <t>Numberof local Government that have fuctional emergency management committee</t>
  </si>
  <si>
    <t>LEMCs estarblished and trained across the 27 LGAs</t>
  </si>
  <si>
    <t>Percentage of political wards that have fuctional Emergency management committee</t>
  </si>
  <si>
    <r>
      <rPr>
        <b/>
        <sz val="12"/>
        <color theme="1"/>
        <rFont val="Times New Roman"/>
        <family val="1"/>
      </rPr>
      <t xml:space="preserve">Commitmen 2 </t>
    </r>
    <r>
      <rPr>
        <b/>
        <sz val="12"/>
        <color theme="1"/>
        <rFont val="Arial Narrow"/>
        <family val="2"/>
      </rPr>
      <t>Effectively and Effeciently Provide Support to Citizens of Jigawa State Seeking Enlistment in the Military, Paramilitary Organzations and Federal Establishments including the Provision of Guidance &amp; Counselling Support to Youths in Jigawa State</t>
    </r>
  </si>
  <si>
    <t xml:space="preserve">Support towards the placement of Citizens of Jigawa State in the Military, Paramilitary and other Federal Establishment  </t>
  </si>
  <si>
    <t>No. of Jigawa Citizens Supported to be Enrolled in Military, Paramilitary and Federal Establishments</t>
  </si>
  <si>
    <t>No. of Engagements with Federal Character Commission through the State Representative in the Employment of Jigawa Citizens in Federal Agencies</t>
  </si>
  <si>
    <t>Guidance and Counselling Support to Youths in Jigawa State</t>
  </si>
  <si>
    <t>No of Guidance &amp; Counselling Activities Conducted across all the 27 LGAs in the State</t>
  </si>
  <si>
    <r>
      <rPr>
        <b/>
        <sz val="12"/>
        <color theme="1"/>
        <rFont val="Times New Roman"/>
        <family val="1"/>
      </rPr>
      <t xml:space="preserve">Commitment 3 </t>
    </r>
    <r>
      <rPr>
        <b/>
        <sz val="12"/>
        <color theme="1"/>
        <rFont val="Arial Narrow"/>
        <family val="2"/>
      </rPr>
      <t xml:space="preserve">- Effectively and Effeciently Execute any Duty of Special Natuture required for the overall socioeconomi welbeing of the citizens of Jigawa State </t>
    </r>
  </si>
  <si>
    <t>Effective Discharge of Other Special Duties</t>
  </si>
  <si>
    <t>No. of Palliative Shops Established in each LGA Headquarter</t>
  </si>
  <si>
    <t>Palliative Shops Established in each LGA and Headquarter</t>
  </si>
  <si>
    <t>No. of Palliative Shops Established in all 287 Political Wards in the State</t>
  </si>
  <si>
    <t>Ongoing project</t>
  </si>
  <si>
    <t>No. of other Major Special Duties Successfully Executed</t>
  </si>
  <si>
    <t>Free Ramadan feeding is provided across 27 LGAs iun 639 centres</t>
  </si>
  <si>
    <t>Commitment: Sustained Implementation of Security and Justice Sector Reforms</t>
  </si>
  <si>
    <t>OPT No</t>
  </si>
  <si>
    <t>Establishment of Citizen's Right units at Judical divisions</t>
  </si>
  <si>
    <t>This succes was achieved as a result of public awarenes and sensitization on the activities of the department of Citizens' Right.</t>
  </si>
  <si>
    <t>Number of Competent and capable state counsel at units</t>
  </si>
  <si>
    <t>This is due to shortage of enough manpower at the Ministry.</t>
  </si>
  <si>
    <t>Establishment of community law Centers as alternative means of dispute Resolution(ADR)</t>
  </si>
  <si>
    <t>Number of Functional community law centers</t>
  </si>
  <si>
    <t>CLCs are domiciled at Gwaram , B/kudu, Dutse, Miga, K/Hausa, Hadejia, Guri, Kirikassamma, S/Tankarkar, Taura. However, Babura, Ringin, and Kazaure centers were closed due to non patronage by the citizens. Some of the centers need to be renovated due to dilapudation.</t>
  </si>
  <si>
    <t xml:space="preserve">Number of Competent and capable mediators at centers </t>
  </si>
  <si>
    <t>The secretaries served as mediators for minor and non-serious complaints. However, lawyers attend centers on weekly to mediate serious and complicated complaints.</t>
  </si>
  <si>
    <t xml:space="preserve"> Number of  mediators trained </t>
  </si>
  <si>
    <t xml:space="preserve">Lack of training  and re-training due to non availability of funds. </t>
  </si>
  <si>
    <t xml:space="preserve">Jigawa State Taskforce on Human Trafficking Support </t>
  </si>
  <si>
    <t>Existance of Functional taskforce assessed by the number of Quarterly meetings held annually and other related activities</t>
  </si>
  <si>
    <t xml:space="preserve">Percentage  of reported TIP/SOM cases that were prosecuted </t>
  </si>
  <si>
    <t>Number of TIP/SOM Survivors supported</t>
  </si>
  <si>
    <t>Reactivation of Sulhu committees in all LGAs</t>
  </si>
  <si>
    <t>Number of committees activated</t>
  </si>
  <si>
    <t xml:space="preserve">Percentage of Complaints resolved by committees </t>
  </si>
  <si>
    <t>Increased provision of free legal services to the indigent population/vulnerable groups at Community Law centres and Citizen's Right Judicial Units</t>
  </si>
  <si>
    <t>Increase in number of lawyers at CLCs</t>
  </si>
  <si>
    <t>Increase in number of lawyers at citizen's right units</t>
  </si>
  <si>
    <t xml:space="preserve"> Percentage of  complaints resolved by mediation</t>
  </si>
  <si>
    <t>This was achieved as a result of mass awareness on the activities of CLCs across the state.</t>
  </si>
  <si>
    <t>percentage of clients rendered representational services (CLCs)</t>
  </si>
  <si>
    <t xml:space="preserve">There are cases were in court and also contained in the colated datasets of cases </t>
  </si>
  <si>
    <t xml:space="preserve">Percentage of clients  rendered Legal advice </t>
  </si>
  <si>
    <t>Most cases relating to legal advice were found to be not documented at the commussion or centers,.This data  sets needs to be included in the commussion's case data sets</t>
  </si>
  <si>
    <t>Percentage of Cases referred to other authority</t>
  </si>
  <si>
    <t>Abondoned cases</t>
  </si>
  <si>
    <t>There are cases that clients eventually wanted to pursue their right in the courtdue to non consensus between parties to resolve the issue</t>
  </si>
  <si>
    <t>Increased prosecution of criminal cases at high courts,magistrate  and Shari'ah courts</t>
  </si>
  <si>
    <t>Increase in number of lawyers at Public prosecution Judicial units</t>
  </si>
  <si>
    <t>we were able to received and render legal advice to 180 cases</t>
  </si>
  <si>
    <t xml:space="preserve">Percentage of prosecution from received criminal Complaints </t>
  </si>
  <si>
    <t xml:space="preserve"> Direct criminal are normally filed in  court by the office of the Hon Attorney General where complainants lodged their  complanits</t>
  </si>
  <si>
    <t>Compounded cases</t>
  </si>
  <si>
    <t xml:space="preserve"> Cases of rape are some time been compunded where parties(i.e the defendant and victim agreed to marry)</t>
  </si>
  <si>
    <t>Prosecution taken over (from police, civil defence, others)</t>
  </si>
  <si>
    <t>capital offences filed at the magistrate  and Sharia courts are taken over by the ministry when charges are filed at the High courts.</t>
  </si>
  <si>
    <t>Percentage of cases where legal advice was rendered</t>
  </si>
  <si>
    <t>Due to the volume of the case diaries we received we have even  exceeded the target.</t>
  </si>
  <si>
    <t>Rate of prosecuted cases within the 8 days-set time standard/guidelines</t>
  </si>
  <si>
    <t xml:space="preserve"> This cannot be determine by the ministry as it involve the courts, the ministry, the defence counsel, investigating agencies and correctional service.</t>
  </si>
  <si>
    <t xml:space="preserve">Number of non-sexual offences prosecuted  </t>
  </si>
  <si>
    <t>Victims of armed robbery and abduction cases sometimes are scared of coming to court to give evidence and this brings delay in prosecuting those type of cases.</t>
  </si>
  <si>
    <t>Increase compliance and enforcement of all provisions of the VAPP Law</t>
  </si>
  <si>
    <t>The number of the convicts were registered in the sexual offenders register domiciled at DDP'S office</t>
  </si>
  <si>
    <t>Number of types of cases of violence against persons reported</t>
  </si>
  <si>
    <t>some cases of violence against person are not reported because of fear of stigma despite public awareness campaign. However effort has been made to sensitise the general public to imbibe the culture of breking silence.</t>
  </si>
  <si>
    <t>Percentage of cases violence against persons being prosecuted</t>
  </si>
  <si>
    <t>Most cases of violence against persons are unreported and compounded at the community level due to the fear and stigma and personal relationship.</t>
  </si>
  <si>
    <t>Rate of conviction secured against prosecuted cases</t>
  </si>
  <si>
    <t>This is due to the multiplicity of actors having different roles on the subject.</t>
  </si>
  <si>
    <t>Increased compliance and enforcement of provisions of the Administration of criminal justice Law (ACJL)</t>
  </si>
  <si>
    <t xml:space="preserve">Number of prosecution of offences in compliance with ACJL provisions </t>
  </si>
  <si>
    <t>All the cases being prosecuted in courts are in compliance with ACJL provisions</t>
  </si>
  <si>
    <t>Baseline (2023)</t>
  </si>
  <si>
    <t>Number of kilometer of New Regional Roads constructed</t>
  </si>
  <si>
    <t>Upcoming Review of RF</t>
  </si>
  <si>
    <t>r</t>
  </si>
  <si>
    <t>FULL YEAR  [JANUARY TO DECEMBER 2024] PERFORMANCE ASSESSMENT</t>
  </si>
  <si>
    <t>Number of women that benefited in State sponsored goat breeding Programme</t>
  </si>
  <si>
    <t>Confirm role of MoWA and obtain list of Beneficiaries</t>
  </si>
  <si>
    <t>Nil</t>
  </si>
  <si>
    <t xml:space="preserve">Legal recognition and formalization of additional 20 grazing reserves to support sustainable livestock management and reduce disputes.No enough funds earmarked </t>
  </si>
  <si>
    <t>Establishment of Security Committees on Farmer-Herdsmen Conflicts</t>
  </si>
  <si>
    <t>Functionality of Security Committee on Farmer-Herdsmen Conflicts based on Number of Meetings</t>
  </si>
  <si>
    <t>Eleven Meetings Held</t>
  </si>
  <si>
    <t>Number of conflict management sensitization held with farmers and herdmen'</t>
  </si>
  <si>
    <t>Quantity of improved quality  inputs (seeds)  supply at subsidized prize (mt)</t>
  </si>
  <si>
    <t xml:space="preserve">Number of youths that were trained on ICT </t>
  </si>
  <si>
    <t>Question on Baze Uniersity and BoI out</t>
  </si>
  <si>
    <t>Number of youths that acquired skills through vocational internship programme with the private sector organizations and other public institutions (by gender)</t>
  </si>
  <si>
    <t>?????</t>
  </si>
  <si>
    <t>Number of youth trained on any Vocational Skills</t>
  </si>
  <si>
    <t xml:space="preserve">Number of youths supported with employment  </t>
  </si>
  <si>
    <t>Number of MoU signed with partners for youth empowerment training and seed fund grants</t>
  </si>
  <si>
    <t xml:space="preserve">Number of existing businesses that benefitted from soft loans </t>
  </si>
  <si>
    <t>Number of existing businesses that benefitted from grants</t>
  </si>
  <si>
    <t>Website created www.yeea.jg.gov.ng, over 100,000 unemployed youth registered.</t>
  </si>
  <si>
    <t xml:space="preserve">
• S/Tankarkar -Garin Alko Rd - 30.5km
• Kwanar Kuka – Tofa Road - 26km
• Girinbo – Gantsa – Sara Rd - 46km
• Yenleman-Kaugama-Madana - 30km
• Shuwari-Chamo-Isari -5km
• Maigari Babura - 19 km</t>
  </si>
  <si>
    <t xml:space="preserve">Wurno (2km), Kanya-Babba (3.5km), State Capital Roads (5 km), </t>
  </si>
  <si>
    <t>About 25 km of newly awarded 263 km of feeder roads completed as of Dec. 2024 including Chuwasu-Chakwaikwaiwa, Gagare - Karanka and</t>
  </si>
  <si>
    <t>These include bridges/ culvers alomg Rabadi Gwaram-Basirka Road, Asayaya along B/Kudu-Kiyawa Road, Tsamiya - Yalwan Damai, Kiyako - Shungurin and Chaichai- Ringim</t>
  </si>
  <si>
    <t>• Auyo – K/Hausa Road    - 16km
• B/Kudu – Kiyawa Road  -   47km
• Kiyawa – Jahun Road     - 36.6km
• Dutse – Gambari Road  - 35.7km
•Darai – Gilma Road        - 9.5km
•Kwalam – Gilma Road    - 20km
•Hantsu – Miga Road       - 21.63km
•Gumel-Gujungu-Jahun Road-39km</t>
  </si>
  <si>
    <t>Rehabilitation of Gumel Toenship Roads (2.5) and B/Kudu (3.0 km)</t>
  </si>
  <si>
    <t>*B/Kudu - Zazika -Nafara Road (50 Km) and Gumel Garin Gambo (7km)</t>
  </si>
  <si>
    <t xml:space="preserve">OHOS, Manpower Development &amp; Training, </t>
  </si>
  <si>
    <t>2No. Disabled in Momadic and 26 in SUBEB</t>
  </si>
  <si>
    <r>
      <rPr>
        <sz val="11"/>
        <color rgb="FFFF0000"/>
        <rFont val="Calibri"/>
        <family val="2"/>
        <scheme val="minor"/>
      </rPr>
      <t>N6,965,000,000</t>
    </r>
    <r>
      <rPr>
        <sz val="11"/>
        <rFont val="Calibri"/>
        <family val="2"/>
        <scheme val="minor"/>
      </rPr>
      <t xml:space="preserve"> was paid to 2642 </t>
    </r>
    <r>
      <rPr>
        <sz val="11"/>
        <color rgb="FFFF0000"/>
        <rFont val="Calibri"/>
        <family val="2"/>
        <scheme val="minor"/>
      </rPr>
      <t xml:space="preserve">out of about ….. persons </t>
    </r>
    <r>
      <rPr>
        <sz val="11"/>
        <rFont val="Calibri"/>
        <family val="2"/>
        <scheme val="minor"/>
      </rPr>
      <t>were paid gratuity and death benefits.</t>
    </r>
  </si>
  <si>
    <t xml:space="preserve">Total number of participated in short term Capacity Building Programme for Staff across MDAs </t>
  </si>
  <si>
    <t>100 trained on e-governance, 50 on public service management, 150 on enhanding producitivity and 250 on digital transformation.</t>
  </si>
  <si>
    <t>Number of staff trained on long term Programme through In-Service Training and other established collaborations with tertiary institutions.</t>
  </si>
  <si>
    <t>Need for only 2024</t>
  </si>
  <si>
    <t>3 reports for workforce gap analysis were presented by the HoS to the State Exco (Workforce Technical Committee serving as Manpower Committee)</t>
  </si>
  <si>
    <t>These include Computer, Beads works, fashion &amp; Design, leather Works, Liquid Soap Making, Cosmetics, Advocacies by NWDC,  Persiable goods preservations and VVF Patiants</t>
  </si>
  <si>
    <t>25No. Women Cooperative Groups formed with ten members each</t>
  </si>
  <si>
    <t>Numer of Women Benefiting from Women Targeted Skill Acquisition Programs, Enterprenurship Grants/Loans or Start-up Kits</t>
  </si>
  <si>
    <t>Include JCARES Program Benefciairies and other regular women empowerment programs</t>
  </si>
  <si>
    <t xml:space="preserve">Database of Orphans (65,607), PwDs (34,994) and Aged Persons (93,212) and Pregnant Women)Established with </t>
  </si>
  <si>
    <t>Beneficiea 8,610 maternal cash transfer and 1,614 pwDs)</t>
  </si>
  <si>
    <t>Exp on MCT rose from N296,5 million in 2023 to N538 million in 2024 while Social Security remained static at N135.6 million</t>
  </si>
  <si>
    <t>Amount in DTF at the end of 2023 was about N44.5 million which rose to about N70.3 million in 2024</t>
  </si>
  <si>
    <t xml:space="preserve">Sensitization during International Women's Day; Post-trauma sensitization for VVF and Victims of Rape, </t>
  </si>
  <si>
    <t>2 Communitis selected in each political wards Rankace and Unguwar Juda in Dutse LGA verified</t>
  </si>
  <si>
    <t>Renovation of structures undertaken in K/Hausa and Birniwa and Kazaure totalling about N48.7 million against N55.8 million</t>
  </si>
  <si>
    <t>The sum of N31.2 expended against a provision of N45 million</t>
  </si>
  <si>
    <r>
      <t xml:space="preserve">a) Out of 451 grazing reserves 12No. were demarcated.over 10,000 hecters of land demacated to prevent encrochiment and reduce conflicts.  Areas demacated are Gwaram, Kiyawa, Dakaiyawa, Agin, Katanga, Barwa, Farin Dutse, Bagadaza, Kore Aoba, Zuzu Almazuzu, and Zuzo stock routes,  </t>
    </r>
    <r>
      <rPr>
        <sz val="11"/>
        <color rgb="FFFF0000"/>
        <rFont val="Times New Roman"/>
        <family val="1"/>
      </rPr>
      <t>(what are the 12No</t>
    </r>
    <r>
      <rPr>
        <sz val="11"/>
        <color theme="1"/>
        <rFont val="Times New Roman"/>
        <family val="1"/>
      </rPr>
      <t>.)
b) 439 undemarcated  PICTURE ATTACHED</t>
    </r>
  </si>
  <si>
    <t>State Committee and Guri Local Government Area Committee</t>
  </si>
  <si>
    <t>These include Emirate &amp; LGA level Sensitization by the State Committee and within Guri LGA</t>
  </si>
  <si>
    <t xml:space="preserve"> JASCO limited company provide chemical 14,000Lt for the farmers of Jigawa state out of  target of 15,400 Lt for the year 2024 both dry and rain season </t>
  </si>
  <si>
    <r>
      <t>the breakdown of package allocated are rice 1.270, maize 1.290, millet 3.410 and sorghum 2.760 provided by NG CARES free (</t>
    </r>
    <r>
      <rPr>
        <sz val="11"/>
        <color rgb="FFFF0000"/>
        <rFont val="Times New Roman"/>
        <family val="1"/>
      </rPr>
      <t>Are these in mt or what???)</t>
    </r>
  </si>
  <si>
    <t xml:space="preserve">MoUs signed with Sasakawa SG2000, PropCom, FMAN, Ethiopia, </t>
  </si>
  <si>
    <t>January to June 2024 MDA/Sector Summary of Performance on Commitments</t>
  </si>
  <si>
    <t>S/N</t>
  </si>
  <si>
    <t>Commitments</t>
  </si>
  <si>
    <t>No Results to be Delivered</t>
  </si>
  <si>
    <t>Performance for Each Result</t>
  </si>
  <si>
    <t>Overall Performance</t>
  </si>
  <si>
    <t xml:space="preserve">Exceptional </t>
  </si>
  <si>
    <t>Above Expectation</t>
  </si>
  <si>
    <t>Meets Expectation</t>
  </si>
  <si>
    <t>Needs Improvement</t>
  </si>
  <si>
    <t>Below Minimum Expectation</t>
  </si>
  <si>
    <t>Rating</t>
  </si>
  <si>
    <t>The services at Gumel and Kazaure LIBCs still remained epileptic'</t>
  </si>
  <si>
    <t>Vetarinary hospitals at Dutse, Birnin Kudu, Gumel and Maigatari improved staffining and made functional. Construction of ne one one in Kachi still ongoing</t>
  </si>
  <si>
    <t xml:space="preserve">Constructed an abbatoir at Maigatari. </t>
  </si>
  <si>
    <t>There is no any retrieval under the revolving scheme</t>
  </si>
  <si>
    <t>Each benificiary from Maigatari, Kazaure, Buji and K/Hausa received 3 goats.</t>
  </si>
  <si>
    <t xml:space="preserve">Number of Livestock Reached in Vaccination Services </t>
  </si>
  <si>
    <t>5,160 women benefited 15,480 goats under the Regular Program of the Ministry in Maigatari, Kazaure, Buji and K/Hausa</t>
  </si>
  <si>
    <t>Number of Women Benefitting from JCARES Goat/Sheep Breeding Program</t>
  </si>
  <si>
    <t>Number of Goats / Sheeps Distributed under JCARES Goat/Sheep Breeding Program</t>
  </si>
  <si>
    <t>Number of Crops for which up-to-date data on Production and Productivity is available Annually (6 Major Crops and Others)</t>
  </si>
  <si>
    <t>N/A</t>
  </si>
  <si>
    <t>Data not available due to human resource issus</t>
  </si>
  <si>
    <t>500 farmers to 1 extention worker achieved down from 1000:1</t>
  </si>
  <si>
    <t>Established but not yet functional</t>
  </si>
  <si>
    <t>MINISTRY OF COMMERCE</t>
  </si>
  <si>
    <t>Number of MSMEs, (Cooperatives and Agricultural based associations) captured in Database</t>
  </si>
  <si>
    <t>To check the database for verification</t>
  </si>
  <si>
    <t>Data base  will be readly availabe</t>
  </si>
  <si>
    <t>Needs assessment of MSMEs and associations conductedii. Needs assessment of MSMEs and associations conducted</t>
  </si>
  <si>
    <t>Proportion of MSMEs including associations that are already in the database whose needs assessment conducted</t>
  </si>
  <si>
    <t>MSMEs were captured as a result of J-Cares Program</t>
  </si>
  <si>
    <t>Capacity of MSMEs and associations enhanced based on identified needs</t>
  </si>
  <si>
    <t>Number of capacity building sessions on identified organizational needs conducted for the MSMEs</t>
  </si>
  <si>
    <t>Dates, venues and attendance sheets</t>
  </si>
  <si>
    <t>9/8/2024 at Gumel Emirate Foundation</t>
  </si>
  <si>
    <t>Number of MSMEs including associations trained on identified needs</t>
  </si>
  <si>
    <t>Grants disbursed to selected MSMEs and associations</t>
  </si>
  <si>
    <t>Number of MSMEs including associations that received JCARES grants</t>
  </si>
  <si>
    <t>2024 is only needed</t>
  </si>
  <si>
    <t>The data  is fro 9th Feb. - Dec. 2024</t>
  </si>
  <si>
    <t>Total amount of grants received by beneficiaries</t>
  </si>
  <si>
    <t>1. Update report on the activities of J-Cares Result Area 3 SMEs from inception 2022 to December 2024.    2. BOI Disbursement Summary</t>
  </si>
  <si>
    <t>2024 only should be presented</t>
  </si>
  <si>
    <t>Commitment 2: Sustain and improve on the present effort of making Maigatari export processing zone a reality.</t>
  </si>
  <si>
    <t>Operation license fee for Maigatari export processing zone paid</t>
  </si>
  <si>
    <t>Proportion of the operational license fee for Maigatari export processing zone paid</t>
  </si>
  <si>
    <t xml:space="preserve">2024 Operational Liciense fully paid.  </t>
  </si>
  <si>
    <t>How much and payment receipt is needed to verify</t>
  </si>
  <si>
    <t>90,000,000.00 were paid on 18/07/2024</t>
  </si>
  <si>
    <t>Promotional activities conducted to sensitise communities against vandalisation and attract investors to the zone</t>
  </si>
  <si>
    <t>Number of sensitization activities conducted with communities agaisnt vandalisation of properties in export processing zone</t>
  </si>
  <si>
    <t>Number of active investors attracted to Maigatariexport processing zone</t>
  </si>
  <si>
    <t>1.GOG MERCHANT AND TRADING.       2. STARLINK GLOBAL &amp; IDEAL LTD.     3. S.I AMANA AGRI- COMMUDITIES LTD   
4. Contraex</t>
  </si>
  <si>
    <t>Number of Transit warehouse certificatites issued for effective operation of Maigatari export processing zona</t>
  </si>
  <si>
    <t>It was not captured in 2024 Budget proposal</t>
  </si>
  <si>
    <t>Leasing of Maigatari Boarder free zone to the private sectors operators to make the place viberant and enhance internaly generated revenue (IGR)</t>
  </si>
  <si>
    <t>Contribution to IGR from the Maigatari export processing zone</t>
  </si>
  <si>
    <t>Value of foreign exchange earning generated  through Maigatari export Processing zone</t>
  </si>
  <si>
    <t>Export Grownth rate of Maigatariexport proccessing zone</t>
  </si>
  <si>
    <t>Commitment 3: Organze major and mini trade fairs on periodic basis to showcase the various business opportunities in the state</t>
  </si>
  <si>
    <t xml:space="preserve">Number of Agricultural Products showcase in the trade fairs </t>
  </si>
  <si>
    <t>Number of Mineral resources showcase in the trade fairs</t>
  </si>
  <si>
    <t>Commitment 4: Intensify Domestic Tourism</t>
  </si>
  <si>
    <t>State's Tourist Potentials developed in to actual Tourist attractions i.e Provision of necessary facilities &amp; aminities</t>
  </si>
  <si>
    <t>Number of Tourists attracted into the State</t>
  </si>
  <si>
    <t>Tourists are coming during Sallah celebrations, Gani festival, Students of Institutions of learning for Excursion</t>
  </si>
  <si>
    <t>Number of Job Creation through Tourism</t>
  </si>
  <si>
    <t>Most of jobs created were Indirect jobs</t>
  </si>
  <si>
    <t>Commitment 5: Improve Access to Financing</t>
  </si>
  <si>
    <t>Sensitaization Workshops conducted in collaboration with Financial Institutions for enhaced access to business finance by small business owners</t>
  </si>
  <si>
    <t>Number of Sensitaization Workshops conducted in collaboration with Financial Institutions on enhanced access to business financing</t>
  </si>
  <si>
    <t>1. Workshop 75 billion intervention funds in colaboration with BOI &amp; Federal Government                         2. Sensitization on SMEs business Clinic in colaboration with Jigawa Invest</t>
  </si>
  <si>
    <t>Attendance sheets is needed for verification</t>
  </si>
  <si>
    <t xml:space="preserve">Public enlightment/Rodio programs broadcasted to expose all the available financial assistance/ Loan &amp; how to accessed </t>
  </si>
  <si>
    <t xml:space="preserve">Number of Radio programs Conducted </t>
  </si>
  <si>
    <t>This Commitment is for Critical Infrastructure not Ministri of Commerce</t>
  </si>
  <si>
    <t>This Commitment is for Economic Empowerment &amp; Youth Employment Agency not Ministri of Commerce</t>
  </si>
  <si>
    <t>to provide</t>
  </si>
  <si>
    <t>None conducted</t>
  </si>
  <si>
    <t>Percentage of Expoters that  have Diversified their export product</t>
  </si>
  <si>
    <t>Records only in files need to be extracted and compiled into a database</t>
  </si>
  <si>
    <t xml:space="preserve">1. FCDO Propcom+ provided a technical support for the development of Jigawa State Agricultural Investment policy (2025-2030). Stakeholder consutations were completed and initial draft of the policy is being developed
2. Stakeholder consultations conducted on the review Jigawa State’s Land Acquisition and Resettlement Framework (LARF)  to comply with Framework for Responsible and Inclusive Land Intensive Investment in Agriculture (FRILIA) principle. The document had been developed, approved and published. 
https://www.facebook.com/share/p/1BMmU8QowZ/
ttps://jigawastate.gov.ng/uploads/saber/Jigawa%20State%20FRILIA%20Document.pdf
3.https://jigawastate.gov.ng/uploads/Jigawa%20state%20FRILIA%20GRM%20toolkit.pdf
https://www.jigawastate.gov.ng/uploads/Jigawa%20State%20FRILIA%20Stakeholder%20Management%20Toolkit.pdf
https://www.jigawastate.gov.ng/uploads/Jigawa%20State%20FCCL%20Framework%20for%20PPP%20Projects.pdf
https://www.jigawastate.gov.ng/uploads/Jigawa%20State%20Public%20Private%20Partnership%20Manual.pdf
https://www.jigawastate.gov.ng/uploads/Jigawa%20State%20PPP%20Disclosure%20Framework.pdf
3.http://www.investjigawa.gov.ng/wp-content/uploads/2023/10/JIGAWA-STATE-PUBLIC-PRIVATE-PARTNERSHIP-POLICY-2023-2.pdf
https://ppp.investjigawa.gov.ng/
4. Stakeholders from the private sector reviewed the Jigawa State Business-Enabling Reform Action Plan (BERAP) 2025. (https://www.facebook.com/share/p/1H6doDRqoT/)
5. Information sessions organised with  aim at improving access to credit for micro, small, and medium enterprises (MSMEs). (https://www.facebook.com/share/p/1ET7pnxPcS/)
(https://www.facebook.com/share/p/1HJZNGm2Zq/)
</t>
  </si>
  <si>
    <t>Investment Pipeline tracker mosty have gone beyong 70% actialziation.</t>
  </si>
  <si>
    <t>New investments attracted in the State through various engagement channels (pipeline)</t>
  </si>
  <si>
    <t xml:space="preserve">These include 5 investments mobilized by the Agency and 8 independent exisiting investment onboarding into its database, strengthening investor relations, and ensuring database accuracy.
</t>
  </si>
  <si>
    <t>Jigawa State Government intervening in the water channelisation project by  GNA Limited with Federal Ministry of Water Resources. Also Defirst Flour Mill was supported in Gagarawa IP</t>
  </si>
  <si>
    <t>DHIS2</t>
  </si>
  <si>
    <t>Program under Min. of Women Affairs</t>
  </si>
  <si>
    <t>Jigawa Masaki report</t>
  </si>
  <si>
    <t>Survey data</t>
  </si>
  <si>
    <t>Survey data, MICS 2021</t>
  </si>
  <si>
    <t>MICS 2021</t>
  </si>
  <si>
    <t>Kiyawa, Maigatari, Gwaram, Gwiwa, Karkarna, Auyo, Guri, Kirikasamma,Kanya Babba, Gwaram, Roni, Garki, and Miga</t>
  </si>
  <si>
    <t>Guri, Kanya Babba, Maigatari, Miga, Auyo, Malam madori</t>
  </si>
  <si>
    <t>Outstanding works includes laudry, kitchen, mutuary, landscaping, block of external toilet etc</t>
  </si>
  <si>
    <t>Equipment supplied yet to be installed</t>
  </si>
  <si>
    <t>30% Mobilization Advanced paid project ongoing satisfactorily</t>
  </si>
  <si>
    <r>
      <t xml:space="preserve">Level of Progress towards the Construction of New General Hospitals in </t>
    </r>
    <r>
      <rPr>
        <sz val="10"/>
        <color rgb="FF0070C0"/>
        <rFont val="Arial Narrow"/>
        <family val="2"/>
      </rPr>
      <t>Ringim</t>
    </r>
    <r>
      <rPr>
        <sz val="10"/>
        <rFont val="Arial Narrow"/>
        <family val="2"/>
      </rPr>
      <t xml:space="preserve"> and Kafin Hausa</t>
    </r>
  </si>
  <si>
    <r>
      <t>Full functionality of New General Hospitals at</t>
    </r>
    <r>
      <rPr>
        <sz val="10"/>
        <color rgb="FF0070C0"/>
        <rFont val="Arial Narrow"/>
        <family val="2"/>
      </rPr>
      <t xml:space="preserve"> Ringim</t>
    </r>
    <r>
      <rPr>
        <sz val="10"/>
        <rFont val="Arial Narrow"/>
        <family val="2"/>
      </rPr>
      <t xml:space="preserve"> and Kafin Hausa) </t>
    </r>
  </si>
  <si>
    <t>The construction for the new emergency block at Gumel General Hospital has been completed waiting to be equipped and staffed.</t>
  </si>
  <si>
    <t>Not Yet</t>
  </si>
  <si>
    <t>Madaci, Chakwaikwaiwa, Koya, Amanga, Yarsara. Abaya,and Kanzan. Furnished</t>
  </si>
  <si>
    <t>Percentage of  Secondary Health Facilities Covered in the Solarization of Critical Sections in Health Facilities for 24 Hour Services. 
Number of secondary health facilities with 24 hours solar power service</t>
  </si>
  <si>
    <t xml:space="preserve">Aabout 217,521, TSHIP fr Student (12,087), Jbasic (145312), BHCPF (97867), Bill abd Melinder (2,507, UNICEF 29,335, Group,Individuals and Social Contributory (361) all totalling 504,990. </t>
  </si>
  <si>
    <t>Number of Development Partners / Programs Operating in the State</t>
  </si>
  <si>
    <t>Inauguration and Maiden Meeting Held and signing of SAP</t>
  </si>
  <si>
    <t>Breakdown Budget Calander items</t>
  </si>
  <si>
    <t>Conduct of ASPER/Agency Score Card</t>
  </si>
  <si>
    <t xml:space="preserve">Teacer-Student Ratio improved from about 67 per teacher in 2023 to about 46 in Dec. 2024 achieved  through massive teacher recruitment including 2,77 teachers redeployed from basic Education to Higher and 1,100 J-Teachers engaged, recruitment of 72 teachers for MEGA Schools, the ratio of 50 student per teacher is achieved - . Number of Teachers increased from 2,563 in 2023 to 5,986 by Dec. With an enrolment of 142,195 this gives a new ratio of  2024 based on the </t>
  </si>
  <si>
    <t>Students</t>
  </si>
  <si>
    <t>Teacer</t>
  </si>
  <si>
    <t>Reviewed Standard for Centers of Excellence in terms of structures, facilities, services and human resources. Four were established including Bamaina Academy and Centre of Excellence for Techincal and Vocaltional Studies Garki Currently ongoing are Dutse Model and SSS K/Hausa</t>
  </si>
  <si>
    <t xml:space="preserve">Based on the 2024 ASC with 125,620 student enrolment and 2,498 classrooms, pupil classroom has improved from 50.3 in 2024. </t>
  </si>
  <si>
    <t>Classess</t>
  </si>
  <si>
    <t>Hostels</t>
  </si>
  <si>
    <t xml:space="preserve">With additiional renovation of 86 student hotels and 11 newly constructed giving the total number of hostels of 458 in 2024 and 33,185 student borders, gives a new student hostel ratio of about 73. </t>
  </si>
  <si>
    <t>xx No. Jigawa State Studetns participating in the Nigerian Learning Passport (NLP) as per the NLP Dashboard Data</t>
  </si>
  <si>
    <t>No. of rubust e-governance service system developed for the educational sector</t>
  </si>
  <si>
    <t>Construction of Faculty of Medicine ongoing at SLU have reached 25%%</t>
  </si>
  <si>
    <t>All courses matured for accreditation have obtained full accreditation. No course was denied accreditation by the relevant accreditating body</t>
  </si>
  <si>
    <t>1) Wetland Research &amp; Development Center (SLU)
2) Directorate of Research, Innovation &amp; Partnership Center (DRIP) SLU.                                                 3. Career Development Center, CoE Gumel                                                         4. ) Center for Semi Arid &amp; Research Development (BUPOLY)</t>
  </si>
  <si>
    <t xml:space="preserve">Funding received  frm TET Fund for Career Development Centre COE.  Center for Semi Arid &amp; Research.  Development (BUPOLY) also received from xxx </t>
  </si>
  <si>
    <t xml:space="preserve">Digitial Platforms establshed to improve internal processess of educational planning such as e-registration, admissions, recruitments examinations, etc (subebjigawa.org.ng),  additional ones by PLANE and UNICEF supporting with some aspects of educational management. </t>
  </si>
  <si>
    <t>x% of students covered under LURITS application  in 150 schools across 10 LGEAs.  BAMIS application used for capturing biometric attandance of pupils in 1,351 schools in 15 LGEA (SUBEB) (1)Birnin kudu (2)Dutse (3)Gwaram (4)Buji (5)Buji (6)Ringim (7)Kazaure (8)Hadejia (9)Birniwa(10)Kafin Huasa (11)Auyo (12)Gwaiwa (13)Jahun (14)Maigatari (15)Kiri Kasamma</t>
  </si>
  <si>
    <t xml:space="preserve">Out of the projected OOSC of 820,000 in 2024, about 164,000 were enrolld backed to school as ascertained through improved enrolment.  </t>
  </si>
  <si>
    <t>Commitment 2: Launch the Community Peace Initiative (CPI) as a performance- based grant to promote peacekeeping and attract development to the communities</t>
  </si>
  <si>
    <t>Number of CPIs that have Received Performance Grants</t>
  </si>
  <si>
    <t>Percentage of the population of residents whose data have been capture in the state security database</t>
  </si>
  <si>
    <t>Number of Trained Community Security Guards recruited to support security efforts in Government Institutions and Public Places</t>
  </si>
  <si>
    <t>Propotion of the trained Community Security Guards integrated into formal security systems</t>
  </si>
  <si>
    <t>Over 9,000 Security Guard Officers recruited and trainined through private security agencies</t>
  </si>
  <si>
    <t xml:space="preserve">Memo has already put in place and waiting for approval by His Excellecy based on discussion at the Expanded </t>
  </si>
  <si>
    <t xml:space="preserve">Automation is done in stages - 
5 stages as follows:
1. registration process
2. invoicing process
3. Payment process
4. Receipt
5. filing process
</t>
  </si>
  <si>
    <t>Functionality of Tax Payers Database of the State Internal Revenue Service measured by Percentage Annual Increase in the Number of Tax Payers Captured in the Database (50% in Year 1, 50% in Year 2, 50% in Year 3 and 10% thereafter)</t>
  </si>
  <si>
    <t>The Data base is fully functional as at December 2024 (baeline 5.500) increased to 22,800 as of Dec. 2024</t>
  </si>
  <si>
    <t>Existence of Presumptive tax Framework</t>
  </si>
  <si>
    <t>The Tax policy was reviewed yet to be vlalidated and approved</t>
  </si>
  <si>
    <t>Presumptive Tax Framework Developed</t>
  </si>
  <si>
    <t xml:space="preserve">Progress (%) achieved towards the review and approval State Tax Policy </t>
  </si>
  <si>
    <t>Hadejia, DUtse and Shuwarin Markets</t>
  </si>
  <si>
    <t>Sanitation Facilities (Shuwarin), Toilet (Shuwarin, Hadjia and Dutse), Solar Project in Dutse</t>
  </si>
  <si>
    <t>The 2023 actual was N16,483,046,204 while that of 2024 was N51,146,385,494.10</t>
  </si>
  <si>
    <t xml:space="preserve">The presuptive tax frramework was develoed with the governor </t>
  </si>
  <si>
    <t xml:space="preserve">PPFN collaborated with State Emergency Management Agency of Jigawa state as well as the State Ministry of Health throughout the outreach.LGA OF IMPLEMENATION: MIGA, KIYAWA, GWARAM, DUTSE
OBJECTIVES OF THE ACTIVITY (The activity objective is what the activity aims to do, for example provide your perspective or deliver some sort of experience for the young people you work with. 2.Partner: Relief Rescue Initiative (RRI)
Project Title: Emergency WASH and Multipurpose Cash Assistance to flood-affected
Community in Jigawa State
Location: Jahun, Miga, Kiri kasamma, Buji and Gwarama
</t>
  </si>
  <si>
    <t>38,078 victims has fully  received relief package during emergency</t>
  </si>
  <si>
    <t>Conprehensive reports will be submitted</t>
  </si>
  <si>
    <t>Target achieved due to the commitment of present administration in order to provide more employment.</t>
  </si>
  <si>
    <t>What are the LGs</t>
  </si>
  <si>
    <t>MINISTRY OF LAND, HOUSING &amp; URBAN DEVELOPMENT</t>
  </si>
  <si>
    <t>Evidences/Remarks</t>
  </si>
  <si>
    <r>
      <t>The d</t>
    </r>
    <r>
      <rPr>
        <b/>
        <sz val="12"/>
        <color theme="1"/>
        <rFont val="Calibri"/>
        <family val="2"/>
        <scheme val="minor"/>
      </rPr>
      <t>igitalizing</t>
    </r>
    <r>
      <rPr>
        <sz val="12"/>
        <color theme="1"/>
        <rFont val="Calibri"/>
        <family val="2"/>
        <scheme val="minor"/>
      </rPr>
      <t xml:space="preserve"> of all available land records </t>
    </r>
    <r>
      <rPr>
        <b/>
        <sz val="12"/>
        <color theme="1"/>
        <rFont val="Calibri"/>
        <family val="2"/>
        <scheme val="minor"/>
      </rPr>
      <t xml:space="preserve">upscaled </t>
    </r>
    <r>
      <rPr>
        <sz val="12"/>
        <color theme="1"/>
        <rFont val="Calibri"/>
        <family val="2"/>
        <scheme val="minor"/>
      </rPr>
      <t xml:space="preserve">and the Jigawa State Land information system (JIGLIS) </t>
    </r>
    <r>
      <rPr>
        <b/>
        <sz val="12"/>
        <color theme="1"/>
        <rFont val="Calibri"/>
        <family val="2"/>
        <scheme val="minor"/>
      </rPr>
      <t>fully commenced</t>
    </r>
    <r>
      <rPr>
        <sz val="12"/>
        <color theme="1"/>
        <rFont val="Calibri"/>
        <family val="2"/>
        <scheme val="minor"/>
      </rPr>
      <t>.</t>
    </r>
  </si>
  <si>
    <t>Progress of construction of permanent office for the GIS Agency</t>
  </si>
  <si>
    <t>Site secured, full working drawing prepared awaiting for vetting from DPPM</t>
  </si>
  <si>
    <t xml:space="preserve">No policy document exist but using some relevant documents to guide their operations and management. </t>
  </si>
  <si>
    <t>No policy yet, not talk of implementation</t>
  </si>
  <si>
    <t xml:space="preserve">500 housing unit completed as phase I in Dutse, K/Hausa, Hadeija, Gumel, Babura, Kazaure, Ringim and Birnin-kudu. Pictures are attached </t>
  </si>
  <si>
    <t>Housing policy drafted. A copy is here attached</t>
  </si>
  <si>
    <t>Draft copy available</t>
  </si>
  <si>
    <t>No. Coverage of Government Policies and Programs in National and International Media (No of Features in Print and Electronic Media)</t>
  </si>
  <si>
    <t>Monthly Jigawa state Newsletters, Jigawa state website uploads, …………...</t>
  </si>
  <si>
    <t>Number of Languages of Broadcast in State FM and AM Stations  (A minimum of 2 Hours of Daily Broadcast in Langauges other than Hausa)</t>
  </si>
  <si>
    <t>Kanuri, Fulfulde and English</t>
  </si>
  <si>
    <t>List of some jingles</t>
  </si>
  <si>
    <t xml:space="preserve">Senatorial zones </t>
  </si>
  <si>
    <t>No. by each stadium -</t>
  </si>
  <si>
    <t>No. of Youths in Sports (Sports Men and Women) Promoted through Local Sports Talents Hunt</t>
  </si>
  <si>
    <t>To confirm from end of year 2024 budget implementation report or Audit report 2024.</t>
  </si>
  <si>
    <t>MINISTRY OF JUSTICE</t>
  </si>
  <si>
    <t>Number of Functional Citizen's right Law offices</t>
  </si>
  <si>
    <t>No any domicile at the court</t>
  </si>
  <si>
    <t xml:space="preserve">To liaise with Federal High Court </t>
  </si>
  <si>
    <t>This is Federal offence and is being pprosecuted by NAPTIP</t>
  </si>
  <si>
    <t>Pilotted by Access to Justice but no replication by the State</t>
  </si>
  <si>
    <t>Casesa referred monthly to DPP's office  for prosecutions they relate to unwanted pregnancy issues</t>
  </si>
  <si>
    <t>Increased prosecution of sexual offences cases at high courts, magistrate  and Shari'ah courts</t>
  </si>
  <si>
    <t>This cannot be quantified because it depends on so many factors and actors</t>
  </si>
  <si>
    <t>Number of sexual offenders registered (to align with conviction rate)</t>
  </si>
  <si>
    <t>Names of MDAs / Sector</t>
  </si>
  <si>
    <t>No. of Commitments</t>
  </si>
  <si>
    <t>1</t>
  </si>
  <si>
    <t>Office of the Secretary to the State Government</t>
  </si>
  <si>
    <t>2</t>
  </si>
  <si>
    <t>Office of the Head of the State Civil Service</t>
  </si>
  <si>
    <t>3</t>
  </si>
  <si>
    <t>Ministry For Special Duties</t>
  </si>
  <si>
    <t>4</t>
  </si>
  <si>
    <t>Ministry of Agriculture &amp; Natural Resources</t>
  </si>
  <si>
    <t>5</t>
  </si>
  <si>
    <t>Ministry of Basic Education</t>
  </si>
  <si>
    <t>6</t>
  </si>
  <si>
    <t>Ministry of Budget and Economic Planning</t>
  </si>
  <si>
    <t>7</t>
  </si>
  <si>
    <t>8</t>
  </si>
  <si>
    <t>Ministry of Environment</t>
  </si>
  <si>
    <t>9</t>
  </si>
  <si>
    <t>Ministry of Finance (Internal Revenue Service)</t>
  </si>
  <si>
    <t>10</t>
  </si>
  <si>
    <t>Ministry of Health</t>
  </si>
  <si>
    <t>11</t>
  </si>
  <si>
    <t>12</t>
  </si>
  <si>
    <t>13</t>
  </si>
  <si>
    <t>Ministry of Justice</t>
  </si>
  <si>
    <t>14</t>
  </si>
  <si>
    <t>15</t>
  </si>
  <si>
    <t>Ministry of Local Government</t>
  </si>
  <si>
    <t>16</t>
  </si>
  <si>
    <t>Ministry of Power and Energy</t>
  </si>
  <si>
    <t>17</t>
  </si>
  <si>
    <t>Ministry of Water Resources</t>
  </si>
  <si>
    <t>18</t>
  </si>
  <si>
    <t>Ministry of Women Affairs &amp; Social Development</t>
  </si>
  <si>
    <t>19</t>
  </si>
  <si>
    <t>Ministry of Works &amp; Transport</t>
  </si>
  <si>
    <t>20</t>
  </si>
  <si>
    <t>State Investment Promotion Agency</t>
  </si>
  <si>
    <t>21</t>
  </si>
  <si>
    <t xml:space="preserve"> Youth Empowerment and Employment Agency</t>
  </si>
  <si>
    <t>Perfomance Delivery Coordination Unit (PDCU), Office of the Executive Governor</t>
  </si>
  <si>
    <t>2024 Fiscal Year Snapshot View of MDA/Sector Performance (January to Decemeber)</t>
  </si>
  <si>
    <t>Check</t>
  </si>
  <si>
    <t>Employment Generation and Youth Empowerment for Productivity and Sustainable Means of Livelihoods for the People of Jigawa State.</t>
  </si>
  <si>
    <t>Ministry of Commerce, Industry, Cooperatives &amp; Tourism</t>
  </si>
  <si>
    <t xml:space="preserve"> Promoting of MSMSEs and Cooperatives</t>
  </si>
  <si>
    <t>Revitalization of Maigatari EPZ</t>
  </si>
  <si>
    <t>Trade Fairs</t>
  </si>
  <si>
    <t>Tourism Development</t>
  </si>
  <si>
    <t>Access to Financing</t>
  </si>
  <si>
    <t>Export Promotion - Increase Market Access and International Trade Opportunities</t>
  </si>
  <si>
    <t xml:space="preserve"> Support the operation of Jigawa State Chamber of Commerce to drive the growth of Trade and Industries in the State.</t>
  </si>
  <si>
    <t>Capitalize Coops, Agric-based Association and Social Enterprises Development</t>
  </si>
  <si>
    <t>Ministry of Women Affairs and Social Development</t>
  </si>
  <si>
    <t xml:space="preserve">Pursuit of targeted women empowerment programmes for job and employment creation </t>
  </si>
  <si>
    <t>Evolution of new social protection programs along the Life Cycle</t>
  </si>
  <si>
    <t xml:space="preserve">Develop and implement policies on the protection, survival &amp; development of women and children to address concerns on the Situation of Children in Jigawa State </t>
  </si>
  <si>
    <t>Sustained improvements in Social Welfare Institutions in the State</t>
  </si>
  <si>
    <t>Ministry for Local Govt. &amp; Community Development</t>
  </si>
  <si>
    <t>Strengthen Community Based Security Architecture</t>
  </si>
  <si>
    <t>Launch of Community Peace Initiative (CPI) for improve service delivery and Community Development</t>
  </si>
  <si>
    <t>Commitment-3: Create an Elders Advisory Committee (ELCO) in every Local Government to advise Government on various government programs and implementation strategies for development.</t>
  </si>
  <si>
    <t>Commitment-4: Entrench an effective financial management system alongside improved policy and strategy across all the Local Governments  with the support and collaboration with Development Partners.</t>
  </si>
  <si>
    <t xml:space="preserve"> Take appropriate proactive measures to address some critical areas of environmental degradation.</t>
  </si>
  <si>
    <t>Take action to address desert encroachment and improved vegetation cover</t>
  </si>
  <si>
    <t>Mobilize and Leverage on External Support from Development Partners to Address issues on Environmental Sustainability including Climate Change (These include World Bank Assisted Projects, FGN Supported Great Green World Projects, etc.</t>
  </si>
  <si>
    <t xml:space="preserve">Improve the Health Status of the Population through the Promotion of Environmental Health and Public Health Security </t>
  </si>
  <si>
    <t>Pursuit of initiatives to mitigate the adverse effects of Climate Change on Environmental Sustainability</t>
  </si>
  <si>
    <t>Pursuit of Initiatives to promote nature conservation for the protection of the flora and fauna of the environment</t>
  </si>
  <si>
    <t>Overall</t>
  </si>
  <si>
    <t>Automation and digitization of school administrations, governance and admission process</t>
  </si>
  <si>
    <t>Enhance the Education database for proper mapping of all schools in the State by undertaking bio-metric-based capturing of all pupils and teachers</t>
  </si>
  <si>
    <t>Enhance the efficiency, resourcefulness, competence of teachers and other educational personnel through training, capacity building, and motivation (Continuous training and retraining of at least 5,000 Teachers/Instructors annually, focusing on Modern Teaching Research Techniques, Digital Literacy, and Skills for Basic Education)</t>
  </si>
  <si>
    <t>Consolidate on gains achieved in girl-child education by introducing Girl-Child Community Committee (GCCC) to monitor retention rates for girls in schools</t>
  </si>
  <si>
    <t>Leapfrog Jigawa into the Digital Economy by introducing digital skills such as coding, web development, and artificial intelligence to all public primary and secondary schools in the state</t>
  </si>
  <si>
    <t>Address the challenge of unfavorable pupil-teacher ratio in Basic schools</t>
  </si>
  <si>
    <t>Reviewing the concept of established Effective Schools at Basic Education</t>
  </si>
  <si>
    <t>Leveraging on the power of e-learning to achieve better learning outcomes in schools (This would be part of an integrated State ICT Strategy and e-governance)</t>
  </si>
  <si>
    <t>Ministry of Higher Education</t>
  </si>
  <si>
    <t>Address the challenges of unfavorable pupil - teacher ratio in post basic school (senior secondary school)</t>
  </si>
  <si>
    <t>Reviewing the concept of Establishing centers of excellence and effective schools at post basic Education</t>
  </si>
  <si>
    <t>Provision of Critical Infrastructures (Decongestion of student classes and Hostel)</t>
  </si>
  <si>
    <t>Enhance quality of science, technology and vocational Education Training (STEM and TVET)</t>
  </si>
  <si>
    <t>Leveraging on the power of e-learning to achieve better learning outcomes in schools (This would be part of an integrated state ICT strategy and e-governance</t>
  </si>
  <si>
    <t>Ensure effective operation of ICT in Schools</t>
  </si>
  <si>
    <t>Accelerate effort to commence medical training in the state university</t>
  </si>
  <si>
    <t>Improve operation of Jigawa quality Assurance Agency (JISEQAA)</t>
  </si>
  <si>
    <t>Ensure that all program in the state tertiary institution are fully accredited by the relevant authorities</t>
  </si>
  <si>
    <t>Establish research centers in tertiary institutions to attract intervention/collaboration from (public/private sectors) and improve the existing ones</t>
  </si>
  <si>
    <t>Funding research in science, technology and Agriculture through collaboration with private sector and Donor agencies</t>
  </si>
  <si>
    <t>Ministry of Finance/Jigawa Internal Revenue Service</t>
  </si>
  <si>
    <t>Sustained Improvement in the Efficiency and Effectiveness in Internal Revenue Administration, Management and Performance</t>
  </si>
  <si>
    <t>Jigawa State Investment Promotion Agency (InvestJigawa)</t>
  </si>
  <si>
    <t xml:space="preserve"> Improvement of the State’s Business Environment and Investment Climate aimed at mobilizing Domestic and Foreign Direct Investments into the State to support quest for economic growth and development. This will involve the provision of pragmatic and relevant policy, legal, regulatory, and institutional frameworks for investment mobilization and private sector development.</t>
  </si>
  <si>
    <t>To Fast track the realization of mobilized / pipeline investment proposals  and support to the private sector for increased investments and job creation</t>
  </si>
  <si>
    <t>Continue to provide the necessary business environment and investment climate attractive to both Domestic and Foreign Investors; be among the topmost performers in the Nation’s Business Competitiveness Index</t>
  </si>
  <si>
    <t>Total</t>
  </si>
  <si>
    <t>Ministry of Lands, Housing, Urban &amp; Regional Planning</t>
  </si>
  <si>
    <t>Development of comprehensive Geographic Information System for more effective Land Administration in the State</t>
  </si>
  <si>
    <t>Implementation of Mass Housing Program (including in collaboration with private sector)  to reducing Housing Deficit in the State Capital and other Major Urban Centers in the State</t>
  </si>
  <si>
    <t>Pursuit of urban renewal program guided by updated and simple master plan</t>
  </si>
  <si>
    <t>Percentage of Progress on Review of Revenue Rates and Scope under Land Administration</t>
  </si>
  <si>
    <t>Ministry of Water Resources / Water Sector</t>
  </si>
  <si>
    <t xml:space="preserve"> Achieve universal access to safe drinking water and sanitation services </t>
  </si>
  <si>
    <t>Increased Investments in the Rehabilitation and Expansion of Irrigation Facilities and Infrastructure (Dams and Water Reservoirs)</t>
  </si>
  <si>
    <t>Achieve the provisions of SDG Goal 6 to ensure availability and sustainable management of water and sanitation for all</t>
  </si>
  <si>
    <t>Ministry of Works</t>
  </si>
  <si>
    <t>Continued provision of Critical Infrastructure including Regional and Township Roads, Bridges/Culverts for Inclusive and Sustainable Economic Growth and improved Socioeconomic Wellbeing of the People. This includes new constructions, rehabilitation and routine maintenance.</t>
  </si>
  <si>
    <t>Min. of Power &amp; Energy (State Electricity Board)</t>
  </si>
  <si>
    <t>To improve access to realizable and affordable energy for the citizens through development of conventional energy sources</t>
  </si>
  <si>
    <t>Sustain Improvement of Public Service Delivery through an optimized State Civil Service by the Principles of rewards and sanctions</t>
  </si>
  <si>
    <t>Merit based Staff Recruitment in Ministries, Departments and Agencies (especially in professional and technical cadres) to fill critical manpower gaps in public service and other sectors to allow for optimal performance</t>
  </si>
  <si>
    <t>Ensure effectiveness and Sustainability of the State Pension Schemes</t>
  </si>
  <si>
    <t>Pursuit of Human Resource Development in the State Public Service to ensure that MDAs are manned and managed by competent, proficient and skilled manpower</t>
  </si>
  <si>
    <t>Ministry of Agriculture / Agricultural Sector</t>
  </si>
  <si>
    <t>Development and Protection of Grazing Reserves</t>
  </si>
  <si>
    <t>Development and sustained support for cluster farmers</t>
  </si>
  <si>
    <t xml:space="preserve"> Support Capacity Enhancement for Value Addition in Agricultural Produce Processing and Marketing</t>
  </si>
  <si>
    <t>Timely Access to Quality and Affordable Agricultural Inputs (fertilizer, seedlings, herbicides, insecticide, etc.)</t>
  </si>
  <si>
    <t>Sustained Collaboration with partners in the Pursuit of Agric Tural Transformation Agenda of the State Government</t>
  </si>
  <si>
    <t xml:space="preserve">Livestock Development </t>
  </si>
  <si>
    <t xml:space="preserve">Fisheries Development </t>
  </si>
  <si>
    <t xml:space="preserve"> Improve the Policy Environment for the Development of Agriculture in the State</t>
  </si>
  <si>
    <t xml:space="preserve">Farmer Support in Accessing Agricultural Financing </t>
  </si>
  <si>
    <t>Revitalize and strengthen the State Agricultural &amp; Rural Development Agency</t>
  </si>
  <si>
    <t>Strengthen and expand the operations of the State Agricultural Supply to farmers.</t>
  </si>
  <si>
    <t>Exploit the State’s Agricultural Potentials through Agricultural Mechanization  and  Irrigation Development</t>
  </si>
  <si>
    <t>Ministry of Special Duties</t>
  </si>
  <si>
    <r>
      <rPr>
        <sz val="12"/>
        <rFont val="Times New Roman"/>
        <family val="1"/>
      </rPr>
      <t xml:space="preserve"> E</t>
    </r>
    <r>
      <rPr>
        <sz val="12"/>
        <rFont val="Arial Narrow"/>
        <family val="2"/>
      </rPr>
      <t>ffectively and Efficiently Execute Emergency Response &amp; Preparedness in dealing with any form of disaster or emergencies in the State</t>
    </r>
  </si>
  <si>
    <r>
      <rPr>
        <sz val="12"/>
        <rFont val="Times New Roman"/>
        <family val="1"/>
      </rPr>
      <t xml:space="preserve"> </t>
    </r>
    <r>
      <rPr>
        <sz val="12"/>
        <rFont val="Arial Narrow"/>
        <family val="2"/>
      </rPr>
      <t>Effectively and Efficiently Provide Support to Citizens of Jigawa State Seeking Enlistment in the Military, Paramilitary Organizations and Federal Establishments including the Provision of Guidance &amp; Counselling Support to Youths in Jigawa State</t>
    </r>
  </si>
  <si>
    <t xml:space="preserve">Effectively and Efficiently Execute any Duty of Special Nature required for the overall socioeconomic wellbeing of the citizens of Jigawa State </t>
  </si>
  <si>
    <t>Mobilization of Local and International Development Organization and Effective Donor coordination</t>
  </si>
  <si>
    <t>Improved Governance &amp; Accountability through sustained Public Expenditure and Financial Management Reforms / Fiscal Sustainability.</t>
  </si>
  <si>
    <t>Pursuit of Annual Planning and Budget Processes in line with the provisions of the State Budget Calander.</t>
  </si>
  <si>
    <t xml:space="preserve"> Expand the Coverage of Social Protection Program by bringing more people into the social register for poor and vulnerable citizens.</t>
  </si>
  <si>
    <t>Sustained Implementation of Security and Justice Sector Reforms</t>
  </si>
  <si>
    <t>Office of the SSG (Security)</t>
  </si>
  <si>
    <t>Ministry of Health / Health Sector</t>
  </si>
  <si>
    <t>Improved access healthcare services through the attainment of Government’s vision of at least one functional Basic Health Clinic per Political Ward, one Secondary Health Facility for ach State Constituency and a Specialist Hospital for each Senatorial Zone, This involved the completion and commissioning all the outstanding projects on Secondary and Specialist Hospitals before the end of the year.</t>
  </si>
  <si>
    <t xml:space="preserve"> Improved Performance and Expanded Coverage of State Health Insurance Scheme</t>
  </si>
  <si>
    <t xml:space="preserve"> Pursuit of Interventions and Initiatives the Accelerate Progress towards the attainment of SDG Goal 3 concerned with ensuring healthy lives and promotion of well-being of the citizens. Specifically, this includes achieving Universal Health Coverage, Access to Quality Essential Basic Healthcare Services Access to safe, effective, quality and affordable essential medicines.</t>
  </si>
  <si>
    <t>Improve Emergency Response Capacity and Effective in the Mitigation and Containment of Epidemics including AIDS, Tuberculosis, Malaria and Other Water-borne and Communicable Diseases Enhanced including the Strengthening the Referral Systems</t>
  </si>
  <si>
    <t xml:space="preserve">:Sustained Improvement in the Recruitment, Training and Deployment of Human resources for Health </t>
  </si>
  <si>
    <t xml:space="preserve"> Planning of the State's Health System</t>
  </si>
  <si>
    <t>Sector  Total / Average</t>
  </si>
  <si>
    <t>Ministry of Information</t>
  </si>
  <si>
    <t xml:space="preserve">Strategic Information Management to generate Public Awareness, Mass Mobilization and Re-orientation for Participatory Governance and Patriotism. </t>
  </si>
  <si>
    <t>Mass Mobilization for Societal Re-orientation and Participatory Governance</t>
  </si>
  <si>
    <t>Promote the Development of History and Culture</t>
  </si>
  <si>
    <t xml:space="preserve"> Revitalization of Jigawa State Printing Press</t>
  </si>
  <si>
    <t>January to December 2024 MDA/Sector Summary of Performance on Commitments</t>
  </si>
  <si>
    <t>Above 100%</t>
  </si>
  <si>
    <t>Below 40%</t>
  </si>
  <si>
    <t>70% -100%</t>
  </si>
  <si>
    <t>60% - 69%</t>
  </si>
  <si>
    <t>40% - 59%</t>
  </si>
  <si>
    <t>OFFICE OF THE HEAD OF SERVICE (Publi Service Reforms and Service Delivery Improvement Initiatives</t>
  </si>
  <si>
    <t>Adjusted Performance</t>
  </si>
  <si>
    <t xml:space="preserve">Measurement Yardstick not defined yet. </t>
  </si>
  <si>
    <t>NA</t>
  </si>
  <si>
    <t>560 college of nursing and midwives, 827 in Ministry of Health - 1225 in Subeb - 272 First Class in MoHEST - 187 in Nomadic and 130 Vet Dr's in MoA</t>
  </si>
  <si>
    <t>PROVIDE NO. OF FEMALES AND TOTAL RECRUITMENT</t>
  </si>
  <si>
    <t>Conduct of ActuRIal Valuation</t>
  </si>
  <si>
    <t>Implementation of ActuRIal Valuation Report</t>
  </si>
  <si>
    <t>a</t>
  </si>
  <si>
    <t>OFFICE OF THE SECRETARY TO THE STATE GOVERNMENT (SPECIAL SERVICES DIRECTORATE)</t>
  </si>
  <si>
    <t>Attainment of Annual Revenue Estimates (Targets as per Approved Budget) by the Manpower Development Institute</t>
  </si>
  <si>
    <t>Only about  54.72 million reported against a target of N587 million as per 2024 AFS which amounts to less than 10%</t>
  </si>
  <si>
    <t>Actual collection in 2023 was about N112.47 million against N54.72 in 2024 - declines of over 51.3% (2024 AFS)</t>
  </si>
  <si>
    <t>Servicom not yet reactivated and Exe. Order Issued</t>
  </si>
  <si>
    <t xml:space="preserve">Emergency Contingency Plan developed and publishe with support of UNICEF. </t>
  </si>
  <si>
    <t xml:space="preserve">Evidence and what was the outcome </t>
  </si>
  <si>
    <t>Commitment-5: Sustain Improvement of Public Service Delivery and Institutional Reforms at the Local Government Level (Street Lghts, Water Supply, SERVICOM, etc)</t>
  </si>
  <si>
    <t>Functionality of LGA Streetlights across the LGAs (Maintenance, Diesel, etc)</t>
  </si>
  <si>
    <t>Only three PFM Core Groups Meetings Held during the year</t>
  </si>
  <si>
    <t>Initial numbers of J-CARES beneficiaries was represented instead of number of Cooperatives registered</t>
  </si>
  <si>
    <t xml:space="preserve">Cluster  of informal Co operative Societies for J-CARES </t>
  </si>
  <si>
    <t>Advocasy to Gumel Emirs Palace on Government's Plans to revitalised the EPZ with appeal for Community Support</t>
  </si>
  <si>
    <t>Number of Foreign Direct Investment (FDI) generated through Maigatari Export Free Trade (Processing) Zone</t>
  </si>
  <si>
    <t>Trade Fair Conducted to showcase Agricultural Produce (raw and processed), Minerals Resources, Investment Opportunities and Technologiges, etc</t>
  </si>
  <si>
    <t>Number of Cooperatives and Trade Associations that were trained on enhancing enterprenuership skills</t>
  </si>
  <si>
    <t>MSMEs, Cooperatives, Agriculture and Trade-based Associations captured in Database</t>
  </si>
  <si>
    <t>J- CARES capcity building/ Sensitization across 3 Senetorial zones</t>
  </si>
  <si>
    <t>Commitment-1: Promoting Inclusive Participation in Economic Activities  through Micro, Small and Medium Enterprises, Cooperatives, and Agriculture &amp; Trade-based Associationsi. MSMEs, Cooperatives and Agriculture based Associations .</t>
  </si>
  <si>
    <t>Commitment 9: Support the Industrial Development of Jigawa State to promote Economic Development and Job Creation</t>
  </si>
  <si>
    <t>Support the Establishment of Industries</t>
  </si>
  <si>
    <t>Number of Industries / Manafacturing Companies established in the Park</t>
  </si>
  <si>
    <t>Progress toward the completion of Gagarawa Indistrial Park (% completion)</t>
  </si>
  <si>
    <t>A wheat processing company established</t>
  </si>
  <si>
    <t>Project ongoing ??</t>
  </si>
  <si>
    <t>Establishment of Three Modern Markets (Hadejia, Dutse and Maigatari)</t>
  </si>
  <si>
    <t>Development of Other Markets</t>
  </si>
  <si>
    <t>Percentage Progress toward the Development of the Three Modern Markets in Hadejia, Dutse and Maigatari</t>
  </si>
  <si>
    <t>Number of Other New Markets Where Development is taking place</t>
  </si>
  <si>
    <t>None development in any new market</t>
  </si>
  <si>
    <t xml:space="preserve"> Development / Modernzation of Markets in the State to Support Trading Activities and Expand Revenue Generation</t>
  </si>
  <si>
    <t>Commitment 10: Development / Modernzation of Markets in the State to Support Trading Activities and Expand Revenue Generation</t>
  </si>
  <si>
    <t>Development / Modernzation of Markets in the State to Support Trading Activities and Expand Revenue Generation</t>
  </si>
  <si>
    <t>Project Feasibility Studies and Designs produced, projects sites identified, while preparation to commense procurement process for wall fencing was in progresss</t>
  </si>
  <si>
    <r>
      <t xml:space="preserve">N12.9 bn is envisaged assessed as external funding from Loans and Grants in 2024 FY from Sasakawa, IsDb and JCARES.  Out of the target, only about </t>
    </r>
    <r>
      <rPr>
        <sz val="10"/>
        <rFont val="Times New Roman"/>
        <family val="1"/>
      </rPr>
      <t xml:space="preserve">N4.66 billion was </t>
    </r>
    <r>
      <rPr>
        <sz val="10"/>
        <color theme="1"/>
        <rFont val="Times New Roman"/>
        <family val="1"/>
      </rPr>
      <t>reported to be received (N413.8 bn from AfDB and N4.24 bn from JCARES which gives  about 36.12 % as per AFS</t>
    </r>
  </si>
  <si>
    <t>Commitment 6: Livestock Development to promote Meat and Dairy Production</t>
  </si>
  <si>
    <t>Proportion (%) of Initiatives in the Policy commenced, ongoing or fully implemented</t>
  </si>
  <si>
    <t>The Farmers were linked with BoI and NIRSAL for micro-credit  financing recovery collected by farmers</t>
  </si>
  <si>
    <t>The New Policy comes with 11 High Level Policy Objectives with 87 specific strategies spread across these objectives. About 50% of all the outlined strategies were commenced or ongoing.</t>
  </si>
  <si>
    <t>Number of New Upland Irrigation Schemes Established</t>
  </si>
  <si>
    <t>Lallashi Irrigation Schemes completed and commissioned</t>
  </si>
  <si>
    <t>Number not acertained ut included small milling machines, grinding machines, etc</t>
  </si>
  <si>
    <r>
      <t xml:space="preserve">Level of Progress towards Equipping newly constructed General Hospitals at </t>
    </r>
    <r>
      <rPr>
        <sz val="10"/>
        <color rgb="FF0070C0"/>
        <rFont val="Arial Narrow"/>
        <family val="2"/>
      </rPr>
      <t>Ringim</t>
    </r>
    <r>
      <rPr>
        <sz val="10"/>
        <rFont val="Arial Narrow"/>
        <family val="2"/>
      </rPr>
      <t xml:space="preserve"> and Kafin Hausa</t>
    </r>
  </si>
  <si>
    <t>Progress status towards equipping Kirikasamma and Gagarawa General Hospitals</t>
  </si>
  <si>
    <t xml:space="preserve">Progress status towards the Completion of General Hospitals at Gagarawa, Kiri Kasamma, </t>
  </si>
  <si>
    <t>Number of functional isolation centers in the State</t>
  </si>
  <si>
    <t xml:space="preserve">Functionality  of State Printing Press (Quarterly Turnover) </t>
  </si>
  <si>
    <t>Profitability of State Printing Press (Atainment of Revenue Targets in %)</t>
  </si>
  <si>
    <t>The sum of N6.175 was reported as actual against a target of N5 millio n</t>
  </si>
  <si>
    <t>Support the General Development of Sports and Improvement the State's Performance in National Sporting Events and other Youth Development Initiatives</t>
  </si>
  <si>
    <t xml:space="preserve">To confirm </t>
  </si>
  <si>
    <t xml:space="preserve">  </t>
  </si>
  <si>
    <t>Improved Student - Classroom Ratio from a Baseline of over 100 students per classroom</t>
  </si>
  <si>
    <t>Interest from BoI Managed Funds (confirm figure)</t>
  </si>
  <si>
    <t>The 2023 JIRS collection was  6,683,897,441.49,  while that of 2024 was 4,676,195,800.80 - a reduction of over 300% indicating nonperformance</t>
  </si>
  <si>
    <t>Percentage Increase in Actual IGR Collection by all MDAs as measured by Outturns in Published Quarterly Budget Implementation Report or  AFS in the case of full year report.</t>
  </si>
  <si>
    <t xml:space="preserve">The 2023 MDAs collections was 9,799,148,762.91 while that of 2024 was 46,470,189,693.80 </t>
  </si>
  <si>
    <r>
      <t xml:space="preserve">Five key leakage points that have been addressed include:
a) Implementation of electronic formal registration using JIGITAS
b) Streamlining the filing of returns.
c) Adoption of an electronic assessment </t>
    </r>
    <r>
      <rPr>
        <sz val="11"/>
        <rFont val="Arial Narrow"/>
        <family val="2"/>
      </rPr>
      <t>process.
d) Expanding payment options for convenience.</t>
    </r>
    <r>
      <rPr>
        <sz val="11"/>
        <color theme="1"/>
        <rFont val="Arial Narrow"/>
        <family val="2"/>
      </rPr>
      <t xml:space="preserve">
e</t>
    </r>
    <r>
      <rPr>
        <sz val="11"/>
        <color rgb="FFFF0000"/>
        <rFont val="Arial Narrow"/>
        <family val="2"/>
      </rPr>
      <t xml:space="preserve">) </t>
    </r>
    <r>
      <rPr>
        <strike/>
        <sz val="11"/>
        <color rgb="FFFF0000"/>
        <rFont val="Arial Narrow"/>
        <family val="2"/>
      </rPr>
      <t>Strengthening taxpayer identification mecha</t>
    </r>
    <r>
      <rPr>
        <strike/>
        <sz val="11"/>
        <color rgb="FFEE0000"/>
        <rFont val="Arial Narrow"/>
        <family val="2"/>
      </rPr>
      <t>nisms.</t>
    </r>
    <r>
      <rPr>
        <sz val="11"/>
        <color theme="1"/>
        <rFont val="Arial Narrow"/>
        <family val="2"/>
      </rPr>
      <t xml:space="preserve">
f) Strentening GRM system
g) monitoring MDA targets
(h) Tax Audit and investigation unit to check underpayment
(i</t>
    </r>
    <r>
      <rPr>
        <sz val="11"/>
        <color rgb="FFFF0000"/>
        <rFont val="Arial Narrow"/>
        <family val="2"/>
      </rPr>
      <t xml:space="preserve">) </t>
    </r>
    <r>
      <rPr>
        <strike/>
        <sz val="11"/>
        <color rgb="FFFF0000"/>
        <rFont val="Arial Narrow"/>
        <family val="2"/>
      </rPr>
      <t>electronic receipt was introduced to block the issue of fake receipt</t>
    </r>
    <r>
      <rPr>
        <sz val="11"/>
        <color theme="1"/>
        <rFont val="Arial Narrow"/>
        <family val="2"/>
      </rPr>
      <t xml:space="preserve">
(j) introduction of consolidated invoice/demand notice to eliminate double</t>
    </r>
  </si>
  <si>
    <t>No Expenditure Yet from the Disability Trust Fund</t>
  </si>
  <si>
    <t>Though 35 juvinile were said discharged from reformatory school Kafin Hausa, no baseline data to asses performance</t>
  </si>
  <si>
    <t>Benefir Package and Coverage for Social Security Allowance for PwD and MCT was approved but only effected for the later which was increased from 20 to 30 women per ward. PwD still pending</t>
  </si>
  <si>
    <t>MINISTRY OF ENVIRONMENT AND CLIMATE CHANGE</t>
  </si>
  <si>
    <t>Adjusted Performance Score (%)</t>
  </si>
  <si>
    <t>Overall Performance Score (%)</t>
  </si>
  <si>
    <t>high volume of water and more agricultural activity - HOW????</t>
  </si>
  <si>
    <t>The only available game reserve on the process of hand-over to National park for Federal Protection</t>
  </si>
  <si>
    <t>Not Assessed due to lack of data</t>
  </si>
  <si>
    <t>A lot of contracts were awarded on these types of projects</t>
  </si>
  <si>
    <t>????</t>
  </si>
  <si>
    <t xml:space="preserve">Awaiting for No objection from Due Process </t>
  </si>
  <si>
    <t>The sum of N5.43 bn approved while was received during the period of Jan - Dec.</t>
  </si>
  <si>
    <t xml:space="preserve">Adjusted Performance </t>
  </si>
  <si>
    <t>Extent of Master Plan developed (Urban Towns) (%)</t>
  </si>
  <si>
    <t>MINISTRY OF POWER AND ENERGY</t>
  </si>
  <si>
    <t xml:space="preserve">OUTPUT LEVEL RESULT FRAMEWORK - POWER AND ENERGY </t>
  </si>
  <si>
    <t>Commitment 2: To improve access to realiable and affordable energy for the citizens through development of conventional energy sources</t>
  </si>
  <si>
    <t>Reliable access to Electricity from the National Grid Increase</t>
  </si>
  <si>
    <t xml:space="preserve">Sabo Garin A. Goje in Dutse LG, Duhuwa in Gumel LG,  Dunbu in Yankwashi LG, Bayen Asibiti Quarters in Babura LG, Abuja quarters in Babura LG,   Hydrabird in Gumel, NTA Qtrs. in Gumel, Nassarawa Qtr. in Gumel, Aigwa in Miga, Tudu Babba in B/Kudu,  Unguwar Zango in K/hausa LGA.  </t>
  </si>
  <si>
    <t>To select some site for physical verification</t>
  </si>
  <si>
    <t>Performance was doe to the interest of state Govt to provide more comm. With electricity</t>
  </si>
  <si>
    <t>Number of kilometer of 33/11kv  - ITC Interconnected Lines</t>
  </si>
  <si>
    <t>ITC Auyo - Kafin Hausa, Kebberi to G/Gabas Tsohuwa in M/Madori, Zandam in Gwaram, Kawari in Kiyawa, Bulangu in K/Hausa and Fitare in Kazaure</t>
  </si>
  <si>
    <t>Number of Non Functional Transformers Replaced</t>
  </si>
  <si>
    <t xml:space="preserve">1No. Jigawa State Radio Corporation, 1No. Grand Khadi &amp; Chief Judge Res.
1No. Behind Jigawa State Radio Quart
1No. 744 Quarters in Dutse, 1No. Old Inec Qtrs. Dutse, 1No. Shagari Qtrs. Hadejia, 2No Gujungu Town in Taura L.G.A.                                          </t>
  </si>
  <si>
    <t>Low performance was due to lack of budgetary provision.</t>
  </si>
  <si>
    <t>Number of Non Functional Transformers Rehabilitated</t>
  </si>
  <si>
    <t>Increased Unit of Power Generation and Distribution from the mini Grid</t>
  </si>
  <si>
    <t>Megawatt of Electricity Units Generated from mini - grid</t>
  </si>
  <si>
    <t>Megawatt of Electricity Units that was Generated from mini - grid Distributed</t>
  </si>
  <si>
    <t xml:space="preserve">Development of renewable Energy </t>
  </si>
  <si>
    <t>Number of Town Provided with Solar Street Lights</t>
  </si>
  <si>
    <t>To provide evidence (list)</t>
  </si>
  <si>
    <t>This was assessed in the 2nd quarter 10% score</t>
  </si>
  <si>
    <t>Number of Stand-alone Solar Street Lights Provided or Rehabilitated in the State</t>
  </si>
  <si>
    <t>This was assessed in the 2nd quarter 13% score</t>
  </si>
  <si>
    <t>Performance at Mid-Year</t>
  </si>
  <si>
    <t>Fully Performance</t>
  </si>
  <si>
    <t>Min. of Commerce, Industries &amp; Co-operatives</t>
  </si>
  <si>
    <t>Min. of Higher Education, Science &amp; Technology</t>
  </si>
  <si>
    <t>Min. of Information Youths, Sports and Culture</t>
  </si>
  <si>
    <t xml:space="preserve">Min. of Lands, Housing and Urban Development </t>
  </si>
  <si>
    <t>\</t>
  </si>
  <si>
    <t>Youth Empowerment and Employment Agency</t>
  </si>
  <si>
    <t>A Good Performance with significant improvement compared to mid0year performance of 44%</t>
  </si>
  <si>
    <t>There are Six (6) LGCs in the State that have Functional Community Guards Coordinating Units, the Local Government are Mallam Madori, Kafin Hausa, Birnin Kudu, Maigatari, Kaugama, Yankwashi, Gumel, Birniwa, Gwaram, and Guri  Local Government Councils.</t>
  </si>
  <si>
    <t>Fair (Needs Improvement)</t>
  </si>
  <si>
    <t>Facilities fully equipped awaiting operationalization</t>
  </si>
  <si>
    <t>Auyo, Malam madori and Maigatari</t>
  </si>
  <si>
    <t>Good (Meets Expectations)</t>
  </si>
  <si>
    <t>Only file from 2012 to 2024 were digitized which covered about 2,136 certificates(under the SABER Program) as against an estimated 70,000 files. https://land.jg.gov.ng</t>
  </si>
  <si>
    <r>
      <t xml:space="preserve">Proportion of existing analogue land certificates of occupancy that have been </t>
    </r>
    <r>
      <rPr>
        <sz val="12"/>
        <color rgb="FFFF0000"/>
        <rFont val="Calibri"/>
        <family val="2"/>
        <scheme val="minor"/>
      </rPr>
      <t>re-certified</t>
    </r>
    <r>
      <rPr>
        <sz val="12"/>
        <color theme="1"/>
        <rFont val="Calibri"/>
        <family val="2"/>
        <scheme val="minor"/>
      </rPr>
      <t xml:space="preserve"> (archieved)</t>
    </r>
  </si>
  <si>
    <t>Same Result No. 1</t>
  </si>
  <si>
    <t>https://land.jg.gov.ng/storage/forms/507M6mUr9BAXndP4qdOOhVv37BaxxnPIuHmby3gm.pdf (2 weeks within the control of the Ministry)</t>
  </si>
  <si>
    <t>copies of digitized survey plans here attached in separate folder</t>
  </si>
  <si>
    <t>Over 2,100 files were reported to have been digitized under the SABER Program (The Ministry is not re-certifying but achieving)</t>
  </si>
  <si>
    <t>https://land.jg.gov.ng/storage/forms/507M6mUr9BAXndP4qdOOhVv37BaxxnPIuHmby3gm.pdf (2 weeks is within the control of the Ministry but thereafter it depends on the Signing of HE at his discretion)</t>
  </si>
  <si>
    <t>As per the AFS 2024, the sum of about N89.2 million was generated against a provision of N365 million amounting to about 24.2% performance.</t>
  </si>
  <si>
    <t>Fairly Ok (Needs Improvement)</t>
  </si>
  <si>
    <t>Very Good (Above Expectation)</t>
  </si>
  <si>
    <t>Overall State Performance</t>
  </si>
  <si>
    <t>22</t>
  </si>
  <si>
    <t>Unsatisfactory (Below Minimum Expectations)</t>
  </si>
  <si>
    <t>Unsatisfactory (Below Minimum Requirement)</t>
  </si>
  <si>
    <t>Distinction (Exceptional)</t>
  </si>
  <si>
    <t>Very Good (Above Expectations)</t>
  </si>
  <si>
    <t>Trained under JCARES</t>
  </si>
  <si>
    <t>Commitment 1:  Work with the relevant agencies to create Jigawa State Joint Intelligence Fusion Center for command, communication and control under the relevant agencies to have a Single Security Coordination Center.</t>
  </si>
  <si>
    <t>Sustained Support for Security Operations and Community Policing through effective collaboration between the State &amp; Local Governments, Security Agencies, Emirate Councils, Local Vigilantes, and other Critical Stakeholders in the State Security Arctecture</t>
  </si>
  <si>
    <t>% Progress in streamlinng Joint Security Operations based on an Established and Functional Single Security Coordinating Center (SCC)</t>
  </si>
  <si>
    <t>No Assessed</t>
  </si>
  <si>
    <t>Number of community security cases and social vices (theft, robbery, drug-related offences, etc) cases intervened/mitigated through the Joint Security Operations</t>
  </si>
  <si>
    <t xml:space="preserve">Number of potential conflicts &amp; disputes (e.g., farmers/herders conflicts, border disputes, etc.) mitigated annually through Community-Policing and other proactive means with early-warning signals. </t>
  </si>
  <si>
    <t>State Security Council meets at least  Quarterly to consider reports and strategies for sustained security vigilance</t>
  </si>
  <si>
    <t>No. of Targetted Stakeholder Engagements, including the Security Agencies, Traditional Institutions, and the Ulamas efforts to maintain Peace and Security in the State through effective collaboration and dialogue</t>
  </si>
  <si>
    <t>Establishment of Security Trust Fund for improved funding and support to Security Agencies including the implementation of Performance-based grants for Community-based Peace Initiatives</t>
  </si>
  <si>
    <t xml:space="preserve">Percentage Progress towards the establishment and Functionality of Security Trust Fund (Establishment, Legal Backing and Operations </t>
  </si>
  <si>
    <t>% Increase in Mobilized Financial Resources Above Initial Seed Funds</t>
  </si>
  <si>
    <t>Number of Community-based Peace Initiatives Supported through the Performance-based Grants</t>
  </si>
  <si>
    <t>Support for the establishment of Community Securty Guards based on a PPP Model</t>
  </si>
  <si>
    <t xml:space="preserve">Number of Community Security Guards Recruited, Trained, Empwered and Drafted into Community Policing Annually </t>
  </si>
  <si>
    <t xml:space="preserve">MultiSectoral Approach in the Crusade Against Drug Abuse </t>
  </si>
  <si>
    <t xml:space="preserve">Establishment and Functionality of a MultiSectoral Taskforce on the Security Threats by Local Drug Dealers, Canpaign Agaist Drug Abuse and Rehabilitarion of Drug Addicts </t>
  </si>
  <si>
    <t>Number of Local Drug Dealers Apprehended</t>
  </si>
  <si>
    <t>Number of Activities Conducted in the Campsign Against Drug Abuse</t>
  </si>
  <si>
    <t>Percentage of Progresss towards the establishment and functionality of Community Security Guard Office (CSGO) for strengthened Community Based Security Architecture</t>
  </si>
  <si>
    <t>Percentage Increase in Actual IGR Collection by JSIR as measured by Outturns in Published Quarterly Budget Implementation Report or Annual Finaicial Statements</t>
  </si>
  <si>
    <t>Exceptional (Distinction)</t>
  </si>
  <si>
    <t>Requires adequate budgetary provision and extensive colloboration</t>
  </si>
  <si>
    <t xml:space="preserve"> -  do -</t>
  </si>
  <si>
    <t>Min. of Commerce, Industry, Cooperatives &amp; Tourism</t>
  </si>
  <si>
    <t>Number of Communities that are Connected to National Grid</t>
  </si>
  <si>
    <t xml:space="preserve">300KVA, 33/0.415KV Transformer at Garun Gudunya Village in Babura L.G.A. , 200KVA , 33/0.415KV Transformer Sci. Sec. Sch. Lautai in Gumel L.G.A.                    </t>
  </si>
  <si>
    <t>Commitment 4: Facilitate partinerships between law enforcemen tagencies and residents, there by improving trust between the law enforcement agencies and residenta and ignite the free flow of accurate information from the residents regarding criminal activities in thier community</t>
  </si>
  <si>
    <t>Commitment 5: Intergrate the various local security outfits and equip them with relavent non-lethal tools and better support in terms of logistics training and intellegece as part of the stratgy to improve our vigillance service.</t>
  </si>
  <si>
    <t xml:space="preserve">Commitment 6: Continued support for community policing and strengthening of preventive mechanisms with effective enforcement of the relevant criminal laws in justice system administration. </t>
  </si>
  <si>
    <t>Not Yet Commenced</t>
  </si>
  <si>
    <t>Newly Set</t>
  </si>
  <si>
    <t>All 900 Security Guards were trained</t>
  </si>
  <si>
    <t>Average Score</t>
  </si>
  <si>
    <t>This is represented by the 900 Recruited Personnel for Government Institutions</t>
  </si>
  <si>
    <t>Propotion of the trained community security guards officers that have been integrated into formal police force</t>
  </si>
  <si>
    <t>Aggregate Score</t>
  </si>
  <si>
    <t>Three Meetings Held with Stakeholders from Guri Local Government on Peaceful Coexistence Between Farmers and Herdsmen Chaired by the Governor</t>
  </si>
  <si>
    <t>Assuming CSGO is equivelent of Hisba, this much progress was achieved following recruiment / appointment of key personnel and submission of Hisba Bill to HoA</t>
  </si>
  <si>
    <t>Not Achieved</t>
  </si>
  <si>
    <t xml:space="preserve">Commitment 7:  Collaboration with the relevant Federal Agencies in dealing with security threats and youth drug abuse through the nefarious activities of drug dealers in the Communities. </t>
  </si>
  <si>
    <t>Commitment 8: Introduce and Operationalize Jigawa Security Trust fund to increase financing and support to national and local security forces</t>
  </si>
  <si>
    <t>Not Assesed</t>
  </si>
  <si>
    <t>Commitment 4: Facilitate partinerships between law enforcement tagencies and residents, there by improving trust between the law enforcement agencies and residenta and ignite the free flow of accurate information from the residents regarding criminal activities in thier community</t>
  </si>
  <si>
    <t>This was assumed as no evidence was provided</t>
  </si>
  <si>
    <t>Distinction (Exceptional</t>
  </si>
  <si>
    <t>Very Good Performance</t>
  </si>
  <si>
    <t>Scores of staff were sanctioned following recommendations by a Whitepaper Committee. The MDAs included Ministry of Health and Tertiary Educational Institutions</t>
  </si>
  <si>
    <t>Very Good (Above Expectations</t>
  </si>
  <si>
    <t>Unsatisfactorily (Below Minimum Expectations)</t>
  </si>
  <si>
    <t>Ministries and Agencies</t>
  </si>
  <si>
    <t>Fully Performance Rating</t>
  </si>
  <si>
    <t>Good Meet s Expectations</t>
  </si>
  <si>
    <t>Fair - Needs Improvement</t>
  </si>
  <si>
    <t>Very Good - Above Expectations</t>
  </si>
  <si>
    <t xml:space="preserve">Number of Women Cooperatives groups benefited the skills / entrepreneurship development training </t>
  </si>
  <si>
    <t>Amended Law was not accented until May 2025 though it was sub,mitted to HoA much earlier.</t>
  </si>
  <si>
    <t>No new Social Protection Commenced. Old Aged Transfer and Support for Orphans still pending.However, two exisiring ones were reviewed (Maternal Cash Transfer and Social Security for Disabled)</t>
  </si>
  <si>
    <t>Very Good (Above Expectations_</t>
  </si>
  <si>
    <t>Commitment 4: mprove the Health Status of the Population through the Promotion of Environmental Health and Public Health Security  (Environmental Health and Polluition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</si>
</sst>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3" formatCode="_-* #,##0.00_-;\-* #,##0.00_-;_-* &quot;-&quot;??_-;_-@_-"/>
    <numFmt numFmtId="164" formatCode="_(* #,##0.00_);_(* \(#,##0.00\);_(* &quot;-&quot;??_);_(@_)"/>
    <numFmt numFmtId="165" formatCode="0.0%"/>
    <numFmt numFmtId="166" formatCode="#,##0.0"/>
    <numFmt numFmtId="167" formatCode="_(* #,##0_);_(* \(#,##0\);_(* &quot;-&quot;??_);_(@_)"/>
    <numFmt numFmtId="168" formatCode="_-* #,##0_-;\-* #,##0_-;_-* &quot;-&quot;??_-;_-@_-"/>
    <numFmt numFmtId="169" formatCode="_-* #,##0.0_-;\-* #,##0.0_-;_-* &quot;-&quot;_-;_-@_-"/>
    <numFmt numFmtId="170" formatCode="_-* #,##0_-;\-* #,##0_-;_-* &quot;-&quot;?_-;_-@_-"/>
    <numFmt numFmtId="171" formatCode="_-* #,##0_-;\-* #,##0_-;_-* &quot;-&quot;???_-;_-@_-"/>
    <numFmt numFmtId="172" formatCode="0.0"/>
  </numFmts>
  <fonts count="173"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2"/>
      <name val="Calibri"/>
      <family val="2"/>
      <scheme val="minor"/>
    </font>
    <font>
      <sz val="12"/>
      <color rgb="FFFF0000"/>
      <name val="Calibri"/>
      <family val="2"/>
      <scheme val="minor"/>
    </font>
    <font>
      <sz val="12"/>
      <color theme="1"/>
      <name val="Calibri"/>
      <family val="2"/>
    </font>
    <font>
      <b/>
      <sz val="14"/>
      <color theme="1"/>
      <name val="Calibri"/>
      <family val="2"/>
      <scheme val="minor"/>
    </font>
    <font>
      <sz val="14"/>
      <color theme="1"/>
      <name val="Calibri"/>
      <family val="2"/>
      <scheme val="minor"/>
    </font>
    <font>
      <sz val="13"/>
      <color theme="1"/>
      <name val="Calibri"/>
      <family val="2"/>
      <scheme val="minor"/>
    </font>
    <font>
      <b/>
      <sz val="13"/>
      <color theme="1"/>
      <name val="Calibri"/>
      <family val="2"/>
      <scheme val="minor"/>
    </font>
    <font>
      <sz val="16"/>
      <color theme="1"/>
      <name val="Calibri"/>
      <family val="2"/>
      <scheme val="minor"/>
    </font>
    <font>
      <sz val="12"/>
      <color theme="1"/>
      <name val="Arial Narrow"/>
      <family val="2"/>
    </font>
    <font>
      <b/>
      <sz val="11"/>
      <name val="Arial Narrow"/>
      <family val="2"/>
    </font>
    <font>
      <sz val="11"/>
      <color theme="1"/>
      <name val="Arial Narrow"/>
      <family val="2"/>
    </font>
    <font>
      <b/>
      <sz val="11"/>
      <color theme="1"/>
      <name val="Arial Narrow"/>
      <family val="2"/>
    </font>
    <font>
      <b/>
      <sz val="10"/>
      <color theme="1"/>
      <name val="Arial Narrow"/>
      <family val="2"/>
    </font>
    <font>
      <sz val="10"/>
      <color theme="1"/>
      <name val="Arial Narrow"/>
      <family val="2"/>
    </font>
    <font>
      <sz val="10"/>
      <color rgb="FF000000"/>
      <name val="Arial Narrow"/>
      <family val="2"/>
    </font>
    <font>
      <sz val="10"/>
      <color rgb="FFFF0000"/>
      <name val="Arial Narrow"/>
      <family val="2"/>
    </font>
    <font>
      <sz val="10"/>
      <name val="Arial Narrow"/>
      <family val="2"/>
    </font>
    <font>
      <sz val="11"/>
      <color rgb="FF000000"/>
      <name val="Arial Narrow"/>
      <family val="2"/>
    </font>
    <font>
      <b/>
      <sz val="11"/>
      <color rgb="FF000000"/>
      <name val="Arial Narrow"/>
      <family val="2"/>
    </font>
    <font>
      <sz val="11"/>
      <color rgb="FFFF0000"/>
      <name val="Arial Narrow"/>
      <family val="2"/>
    </font>
    <font>
      <b/>
      <i/>
      <sz val="11"/>
      <color rgb="FF000000"/>
      <name val="Arial Narrow"/>
      <family val="2"/>
    </font>
    <font>
      <sz val="11"/>
      <name val="Arial Narrow"/>
      <family val="2"/>
    </font>
    <font>
      <u/>
      <sz val="11"/>
      <color theme="10"/>
      <name val="Calibri"/>
      <family val="2"/>
      <scheme val="minor"/>
    </font>
    <font>
      <b/>
      <sz val="11"/>
      <name val="Calibri"/>
      <family val="2"/>
      <scheme val="minor"/>
    </font>
    <font>
      <b/>
      <sz val="13"/>
      <name val="Calibri"/>
      <family val="2"/>
      <scheme val="minor"/>
    </font>
    <font>
      <b/>
      <sz val="16"/>
      <color theme="1"/>
      <name val="Calibri"/>
      <family val="2"/>
      <scheme val="minor"/>
    </font>
    <font>
      <b/>
      <u/>
      <sz val="14"/>
      <color theme="1"/>
      <name val="Calibri"/>
      <family val="2"/>
      <scheme val="minor"/>
    </font>
    <font>
      <b/>
      <sz val="12"/>
      <color theme="1"/>
      <name val="Times New Roman"/>
      <family val="1"/>
    </font>
    <font>
      <b/>
      <sz val="10"/>
      <color theme="1"/>
      <name val="Calibri"/>
      <family val="2"/>
    </font>
    <font>
      <sz val="11"/>
      <color theme="1"/>
      <name val="Calibri"/>
      <family val="2"/>
    </font>
    <font>
      <sz val="11"/>
      <name val="Calibri"/>
      <family val="2"/>
    </font>
    <font>
      <b/>
      <sz val="9"/>
      <color indexed="81"/>
      <name val="Tahoma"/>
      <family val="2"/>
    </font>
    <font>
      <sz val="9"/>
      <color indexed="81"/>
      <name val="Tahoma"/>
      <family val="2"/>
    </font>
    <font>
      <sz val="10"/>
      <color theme="1"/>
      <name val="Calibri"/>
      <family val="2"/>
      <scheme val="minor"/>
    </font>
    <font>
      <sz val="10"/>
      <color rgb="FFFF0000"/>
      <name val="Calibri"/>
      <family val="2"/>
      <scheme val="minor"/>
    </font>
    <font>
      <sz val="8"/>
      <color theme="1"/>
      <name val="Calibri"/>
      <family val="2"/>
      <scheme val="minor"/>
    </font>
    <font>
      <b/>
      <sz val="16"/>
      <color theme="1"/>
      <name val="Calibri"/>
      <family val="2"/>
      <scheme val="minor"/>
    </font>
    <font>
      <b/>
      <sz val="12"/>
      <color indexed="8"/>
      <name val="Calibri"/>
      <family val="2"/>
    </font>
    <font>
      <b/>
      <sz val="14"/>
      <color indexed="8"/>
      <name val="Calibri"/>
      <family val="2"/>
    </font>
    <font>
      <sz val="11"/>
      <color indexed="8"/>
      <name val="Calibri"/>
      <family val="2"/>
    </font>
    <font>
      <sz val="12"/>
      <color indexed="8"/>
      <name val="Calibri"/>
      <family val="2"/>
    </font>
    <font>
      <sz val="12"/>
      <color indexed="8"/>
      <name val="Arial"/>
      <family val="2"/>
    </font>
    <font>
      <sz val="12"/>
      <name val="Calibri"/>
      <family val="2"/>
    </font>
    <font>
      <sz val="12"/>
      <name val="Calibri"/>
      <family val="2"/>
      <scheme val="minor"/>
    </font>
    <font>
      <sz val="12"/>
      <color rgb="FF000000"/>
      <name val="Calibri"/>
      <family val="2"/>
    </font>
    <font>
      <b/>
      <sz val="11"/>
      <color indexed="8"/>
      <name val="Calibri"/>
      <family val="2"/>
    </font>
    <font>
      <b/>
      <sz val="12"/>
      <color rgb="FF000000"/>
      <name val="Calibri"/>
      <family val="2"/>
    </font>
    <font>
      <b/>
      <sz val="12"/>
      <color theme="0"/>
      <name val="Arial Narrow"/>
      <family val="2"/>
    </font>
    <font>
      <sz val="10"/>
      <color rgb="FF0070C0"/>
      <name val="Arial Narrow"/>
      <family val="2"/>
    </font>
    <font>
      <b/>
      <sz val="10"/>
      <name val="Arial Narrow"/>
      <family val="2"/>
    </font>
    <font>
      <b/>
      <sz val="9"/>
      <color theme="1"/>
      <name val="Times New Roman"/>
      <family val="1"/>
    </font>
    <font>
      <b/>
      <sz val="12"/>
      <color rgb="FF000000"/>
      <name val="Arial Narrow"/>
      <family val="2"/>
    </font>
    <font>
      <sz val="11"/>
      <color theme="1"/>
      <name val="Times New Roman"/>
      <family val="1"/>
    </font>
    <font>
      <b/>
      <sz val="10"/>
      <color theme="1"/>
      <name val="Times New Roman"/>
      <family val="1"/>
    </font>
    <font>
      <sz val="11"/>
      <color rgb="FF000000"/>
      <name val="Times New Roman"/>
      <family val="1"/>
    </font>
    <font>
      <sz val="11"/>
      <color rgb="FFFF0000"/>
      <name val="Times New Roman"/>
      <family val="1"/>
    </font>
    <font>
      <b/>
      <sz val="11"/>
      <color theme="1"/>
      <name val="Times New Roman"/>
      <family val="1"/>
    </font>
    <font>
      <sz val="11.5"/>
      <color rgb="FF000000"/>
      <name val="Times New Roman"/>
      <family val="1"/>
    </font>
    <font>
      <sz val="11"/>
      <name val="Times New Roman"/>
      <family val="1"/>
    </font>
    <font>
      <sz val="11.5"/>
      <color rgb="FF000000"/>
      <name val="Calibri"/>
      <family val="2"/>
      <scheme val="minor"/>
    </font>
    <font>
      <b/>
      <sz val="11"/>
      <name val="Times New Roman"/>
      <family val="1"/>
    </font>
    <font>
      <sz val="10"/>
      <color theme="1"/>
      <name val="Times New Roman"/>
      <family val="1"/>
    </font>
    <font>
      <sz val="10"/>
      <name val="Times New Roman"/>
      <family val="1"/>
    </font>
    <font>
      <sz val="11.5"/>
      <color theme="1"/>
      <name val="Calibri"/>
      <family val="2"/>
      <scheme val="minor"/>
    </font>
    <font>
      <sz val="11.5"/>
      <name val="Calibri"/>
      <family val="2"/>
      <scheme val="minor"/>
    </font>
    <font>
      <sz val="11.5"/>
      <color theme="1"/>
      <name val="Times New Roman"/>
      <family val="1"/>
    </font>
    <font>
      <sz val="11.5"/>
      <name val="Times New Roman"/>
      <family val="1"/>
    </font>
    <font>
      <i/>
      <sz val="11"/>
      <name val="Times New Roman"/>
      <family val="1"/>
    </font>
    <font>
      <sz val="11"/>
      <color rgb="FF000000"/>
      <name val="Calibri"/>
      <family val="2"/>
      <scheme val="minor"/>
    </font>
    <font>
      <b/>
      <sz val="10"/>
      <color theme="1"/>
      <name val="Calibri"/>
      <family val="2"/>
      <scheme val="minor"/>
    </font>
    <font>
      <b/>
      <sz val="9"/>
      <color theme="1"/>
      <name val="Calibri"/>
      <family val="2"/>
      <scheme val="minor"/>
    </font>
    <font>
      <b/>
      <sz val="16"/>
      <color theme="1"/>
      <name val="Arial Narrow"/>
      <family val="2"/>
    </font>
    <font>
      <b/>
      <sz val="12"/>
      <color theme="0"/>
      <name val="Times New Roman"/>
      <family val="1"/>
    </font>
    <font>
      <b/>
      <sz val="12"/>
      <color theme="1"/>
      <name val="Times New Roman"/>
      <family val="1"/>
    </font>
    <font>
      <b/>
      <sz val="12"/>
      <color theme="1"/>
      <name val="Arial Narrow"/>
      <family val="2"/>
    </font>
    <font>
      <sz val="12"/>
      <color rgb="FF000000"/>
      <name val="Arial Narrow"/>
      <family val="2"/>
    </font>
    <font>
      <sz val="10"/>
      <color theme="1"/>
      <name val="Calibri"/>
      <family val="2"/>
      <scheme val="minor"/>
    </font>
    <font>
      <sz val="12"/>
      <color theme="1"/>
      <name val="Arial Narrow"/>
      <family val="2"/>
    </font>
    <font>
      <b/>
      <sz val="12"/>
      <color rgb="FF000000"/>
      <name val="Arial Narrow"/>
      <family val="2"/>
    </font>
    <font>
      <b/>
      <sz val="10"/>
      <color theme="1"/>
      <name val="Calibri"/>
      <family val="2"/>
      <scheme val="minor"/>
    </font>
    <font>
      <b/>
      <sz val="12"/>
      <color theme="1"/>
      <name val="Calibri"/>
      <family val="2"/>
      <scheme val="minor"/>
    </font>
    <font>
      <b/>
      <sz val="12"/>
      <color theme="1"/>
      <name val="Calibri"/>
      <family val="2"/>
    </font>
    <font>
      <b/>
      <sz val="12"/>
      <color rgb="FFFF0000"/>
      <name val="Calibri"/>
      <family val="2"/>
    </font>
    <font>
      <sz val="11"/>
      <color rgb="FF000000"/>
      <name val="Arial Narrow"/>
      <family val="2"/>
    </font>
    <font>
      <sz val="11"/>
      <color theme="1"/>
      <name val="Calibri"/>
      <family val="2"/>
    </font>
    <font>
      <sz val="11"/>
      <color rgb="FF000000"/>
      <name val="Calibri"/>
      <family val="2"/>
    </font>
    <font>
      <b/>
      <sz val="11"/>
      <color rgb="FF000000"/>
      <name val="Arial Narrow"/>
      <family val="2"/>
    </font>
    <font>
      <b/>
      <sz val="11"/>
      <name val="Calibri"/>
      <family val="2"/>
    </font>
    <font>
      <b/>
      <sz val="11"/>
      <color theme="1"/>
      <name val="Arial Narrow"/>
      <family val="2"/>
    </font>
    <font>
      <sz val="11"/>
      <color rgb="FF000000"/>
      <name val="Calibri"/>
      <family val="2"/>
      <scheme val="minor"/>
    </font>
    <font>
      <sz val="11"/>
      <color theme="1"/>
      <name val="Arial Narrow"/>
      <family val="2"/>
    </font>
    <font>
      <b/>
      <sz val="11"/>
      <color theme="1"/>
      <name val="Calibri"/>
      <family val="2"/>
    </font>
    <font>
      <b/>
      <sz val="12"/>
      <color rgb="FF000000"/>
      <name val="Calibri"/>
      <family val="2"/>
      <scheme val="minor"/>
    </font>
    <font>
      <b/>
      <sz val="14"/>
      <color theme="1"/>
      <name val="Times New Roman"/>
      <family val="1"/>
    </font>
    <font>
      <sz val="14"/>
      <color theme="1"/>
      <name val="Times New Roman"/>
      <family val="1"/>
    </font>
    <font>
      <sz val="16"/>
      <color rgb="FF000000"/>
      <name val="Calibri"/>
      <family val="2"/>
      <scheme val="minor"/>
    </font>
    <font>
      <sz val="12"/>
      <color rgb="FF000000"/>
      <name val="Arial Narrow"/>
      <family val="2"/>
    </font>
    <font>
      <sz val="12"/>
      <color rgb="FF000000"/>
      <name val="Times New Roman"/>
      <family val="1"/>
    </font>
    <font>
      <sz val="12"/>
      <color theme="1"/>
      <name val="Times New Roman"/>
      <family val="1"/>
    </font>
    <font>
      <b/>
      <sz val="12"/>
      <color theme="1"/>
      <name val="Arial Narrow"/>
      <family val="2"/>
    </font>
    <font>
      <b/>
      <sz val="11"/>
      <color rgb="FFFF0000"/>
      <name val="Calibri"/>
      <family val="2"/>
      <scheme val="minor"/>
    </font>
    <font>
      <b/>
      <sz val="14"/>
      <color theme="1"/>
      <name val="Arial Narrow"/>
      <family val="2"/>
    </font>
    <font>
      <b/>
      <sz val="11"/>
      <color theme="0"/>
      <name val="Times New Roman"/>
      <family val="1"/>
    </font>
    <font>
      <b/>
      <sz val="13"/>
      <color theme="0"/>
      <name val="Times New Roman"/>
      <family val="1"/>
    </font>
    <font>
      <b/>
      <sz val="12"/>
      <color theme="1"/>
      <name val="Arial Narrow"/>
      <family val="1"/>
    </font>
    <font>
      <sz val="12"/>
      <name val="Times New Roman"/>
      <family val="1"/>
    </font>
    <font>
      <b/>
      <sz val="16"/>
      <color theme="1"/>
      <name val="Cambria"/>
      <family val="1"/>
    </font>
    <font>
      <sz val="13"/>
      <color theme="1"/>
      <name val="Cambria"/>
      <family val="1"/>
    </font>
    <font>
      <sz val="13"/>
      <color rgb="FF000000"/>
      <name val="Cambria"/>
      <family val="1"/>
    </font>
    <font>
      <sz val="13"/>
      <color theme="1"/>
      <name val="Arial Narrow"/>
      <family val="2"/>
    </font>
    <font>
      <sz val="13"/>
      <name val="Cambria"/>
      <family val="1"/>
    </font>
    <font>
      <b/>
      <u/>
      <sz val="15"/>
      <color theme="1"/>
      <name val="Calibri"/>
      <family val="2"/>
      <scheme val="minor"/>
    </font>
    <font>
      <b/>
      <sz val="15"/>
      <name val="Arial Narrow"/>
      <family val="2"/>
    </font>
    <font>
      <sz val="11"/>
      <color rgb="FFFF0000"/>
      <name val="Calibri"/>
      <family val="2"/>
    </font>
    <font>
      <sz val="9"/>
      <color theme="1"/>
      <name val="Calibri"/>
      <family val="2"/>
    </font>
    <font>
      <b/>
      <u/>
      <sz val="14"/>
      <name val="Calibri"/>
      <family val="2"/>
      <scheme val="minor"/>
    </font>
    <font>
      <b/>
      <sz val="12"/>
      <name val="Arial Narrow"/>
      <family val="2"/>
    </font>
    <font>
      <b/>
      <sz val="8"/>
      <name val="Arial Narrow"/>
      <family val="2"/>
    </font>
    <font>
      <b/>
      <sz val="9"/>
      <name val="Arial Narrow"/>
      <family val="2"/>
    </font>
    <font>
      <b/>
      <sz val="14"/>
      <color rgb="FF000000"/>
      <name val="Calibri"/>
      <family val="2"/>
    </font>
    <font>
      <b/>
      <sz val="12"/>
      <color rgb="FFFFFFFF"/>
      <name val="Arial Narrow"/>
      <family val="2"/>
    </font>
    <font>
      <b/>
      <sz val="9"/>
      <color rgb="FF000000"/>
      <name val="Times New Roman"/>
      <family val="1"/>
    </font>
    <font>
      <sz val="12"/>
      <name val="Arial Narrow"/>
      <family val="2"/>
    </font>
    <font>
      <sz val="14"/>
      <color rgb="FF000000"/>
      <name val="Arial Narrow"/>
      <family val="2"/>
    </font>
    <font>
      <sz val="12"/>
      <color rgb="FF000000"/>
      <name val="Arial"/>
      <family val="2"/>
    </font>
    <font>
      <b/>
      <sz val="11"/>
      <color rgb="FF000000"/>
      <name val="Calibri"/>
      <family val="2"/>
    </font>
    <font>
      <b/>
      <sz val="11"/>
      <color rgb="FF000000"/>
      <name val="Arial"/>
      <family val="2"/>
    </font>
    <font>
      <sz val="12"/>
      <color rgb="FFFF0000"/>
      <name val="Arial Narrow"/>
      <family val="2"/>
    </font>
    <font>
      <sz val="12"/>
      <color rgb="FFFF0000"/>
      <name val="Calibri"/>
      <family val="2"/>
    </font>
    <font>
      <sz val="11"/>
      <color rgb="FFEE0000"/>
      <name val="Arial Narrow"/>
      <family val="2"/>
    </font>
    <font>
      <sz val="11"/>
      <color rgb="FFEE0000"/>
      <name val="Times New Roman"/>
      <family val="1"/>
    </font>
    <font>
      <b/>
      <sz val="14"/>
      <color theme="0"/>
      <name val="Calibri"/>
      <family val="2"/>
      <scheme val="minor"/>
    </font>
    <font>
      <sz val="12"/>
      <color theme="1"/>
      <name val="Arial"/>
      <family val="2"/>
    </font>
    <font>
      <u/>
      <sz val="12"/>
      <color theme="10"/>
      <name val="Calibri"/>
      <family val="2"/>
      <scheme val="minor"/>
    </font>
    <font>
      <b/>
      <sz val="14"/>
      <color rgb="FF000000"/>
      <name val="Calibri"/>
      <family val="2"/>
      <scheme val="minor"/>
    </font>
    <font>
      <sz val="12"/>
      <color rgb="FF000000"/>
      <name val="Calibri"/>
      <family val="2"/>
      <scheme val="minor"/>
    </font>
    <font>
      <sz val="14"/>
      <color rgb="FF000000"/>
      <name val="Calibri"/>
      <family val="2"/>
      <scheme val="minor"/>
    </font>
    <font>
      <b/>
      <sz val="16"/>
      <color theme="1"/>
      <name val="Agency FB"/>
      <family val="2"/>
    </font>
    <font>
      <sz val="11"/>
      <color theme="1"/>
      <name val="Agency FB"/>
      <family val="2"/>
    </font>
    <font>
      <b/>
      <sz val="10"/>
      <color indexed="64"/>
      <name val="Agency FB"/>
      <family val="2"/>
    </font>
    <font>
      <b/>
      <sz val="10"/>
      <color theme="1"/>
      <name val="Agency FB"/>
      <family val="2"/>
    </font>
    <font>
      <sz val="10"/>
      <color theme="1"/>
      <name val="Agency FB"/>
      <family val="2"/>
    </font>
    <font>
      <sz val="15"/>
      <name val="Agency FB"/>
      <family val="2"/>
    </font>
    <font>
      <sz val="12"/>
      <name val="Agency FB"/>
      <family val="2"/>
    </font>
    <font>
      <sz val="11"/>
      <color rgb="FFFF0000"/>
      <name val="Agency FB"/>
      <family val="2"/>
    </font>
    <font>
      <sz val="15"/>
      <color theme="1"/>
      <name val="Agency FB"/>
      <family val="2"/>
    </font>
    <font>
      <sz val="9"/>
      <name val="Arial Narrow"/>
      <family val="2"/>
    </font>
    <font>
      <sz val="8"/>
      <name val="Arial Narrow"/>
      <family val="2"/>
    </font>
    <font>
      <b/>
      <sz val="13"/>
      <name val="Arial Narrow"/>
      <family val="2"/>
    </font>
    <font>
      <sz val="13"/>
      <name val="Arial Narrow"/>
      <family val="2"/>
    </font>
    <font>
      <sz val="12"/>
      <name val="Arial Narrow"/>
      <family val="1"/>
    </font>
    <font>
      <sz val="8"/>
      <name val="Calibri"/>
      <family val="2"/>
      <scheme val="minor"/>
    </font>
    <font>
      <b/>
      <sz val="8"/>
      <name val="Calibri"/>
      <family val="2"/>
      <scheme val="minor"/>
    </font>
    <font>
      <sz val="9"/>
      <name val="Calibri"/>
      <family val="2"/>
      <scheme val="minor"/>
    </font>
    <font>
      <b/>
      <sz val="11"/>
      <color rgb="FFEE0000"/>
      <name val="Calibri"/>
      <family val="2"/>
      <scheme val="minor"/>
    </font>
    <font>
      <b/>
      <sz val="11"/>
      <color rgb="FFFF0000"/>
      <name val="Arial Narrow"/>
      <family val="2"/>
    </font>
    <font>
      <strike/>
      <sz val="11"/>
      <color rgb="FFFF0000"/>
      <name val="Arial Narrow"/>
      <family val="2"/>
    </font>
    <font>
      <strike/>
      <sz val="11"/>
      <color rgb="FFEE0000"/>
      <name val="Arial Narrow"/>
      <family val="2"/>
    </font>
    <font>
      <sz val="16"/>
      <name val="Calibri"/>
      <family val="2"/>
      <scheme val="minor"/>
    </font>
    <font>
      <b/>
      <u/>
      <sz val="13"/>
      <color theme="1"/>
      <name val="Calibri"/>
      <family val="2"/>
      <scheme val="minor"/>
    </font>
    <font>
      <b/>
      <sz val="12"/>
      <color theme="1"/>
      <name val="Cambria"/>
      <family val="1"/>
    </font>
    <font>
      <sz val="10"/>
      <color rgb="FFFF0000"/>
      <name val="Times New Roman"/>
      <family val="1"/>
    </font>
    <font>
      <b/>
      <sz val="10"/>
      <color theme="1"/>
      <name val="Tahoma"/>
      <family val="2"/>
    </font>
    <font>
      <sz val="10"/>
      <color theme="1"/>
      <name val="Tahoma"/>
      <family val="2"/>
    </font>
  </fonts>
  <fills count="47">
    <fill>
      <patternFill patternType="none"/>
    </fill>
    <fill>
      <patternFill patternType="gray125"/>
    </fill>
    <fill>
      <patternFill patternType="solid">
        <fgColor theme="8"/>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24"/>
        <bgColor indexed="55"/>
      </patternFill>
    </fill>
    <fill>
      <patternFill patternType="solid">
        <fgColor indexed="42"/>
        <bgColor indexed="22"/>
      </patternFill>
    </fill>
    <fill>
      <patternFill patternType="solid">
        <fgColor theme="0" tint="-0.249977111117893"/>
        <bgColor indexed="31"/>
      </patternFill>
    </fill>
    <fill>
      <patternFill patternType="solid">
        <fgColor theme="0" tint="-0.249977111117893"/>
        <bgColor indexed="42"/>
      </patternFill>
    </fill>
    <fill>
      <patternFill patternType="solid">
        <fgColor theme="0"/>
        <bgColor indexed="42"/>
      </patternFill>
    </fill>
    <fill>
      <patternFill patternType="solid">
        <fgColor theme="0"/>
        <bgColor indexed="41"/>
      </patternFill>
    </fill>
    <fill>
      <patternFill patternType="solid">
        <fgColor indexed="22"/>
        <bgColor indexed="42"/>
      </patternFill>
    </fill>
    <fill>
      <patternFill patternType="solid">
        <fgColor theme="6"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4.9989318521683403E-2"/>
        <bgColor indexed="65"/>
      </patternFill>
    </fill>
    <fill>
      <patternFill patternType="solid">
        <fgColor rgb="FF5C9BD5"/>
        <bgColor indexed="64"/>
      </patternFill>
    </fill>
    <fill>
      <patternFill patternType="solid">
        <fgColor rgb="FFE6E4E4"/>
        <bgColor indexed="64"/>
      </patternFill>
    </fill>
    <fill>
      <patternFill patternType="solid">
        <fgColor rgb="FFFFFFFF"/>
        <bgColor indexed="64"/>
      </patternFill>
    </fill>
    <fill>
      <patternFill patternType="solid">
        <fgColor rgb="FFD8D8D8"/>
        <bgColor indexed="64"/>
      </patternFill>
    </fill>
    <fill>
      <patternFill patternType="solid">
        <fgColor rgb="FFDEEAF6"/>
        <bgColor indexed="64"/>
      </patternFill>
    </fill>
    <fill>
      <patternFill patternType="solid">
        <fgColor theme="5" tint="0.79998168889431442"/>
        <bgColor indexed="65"/>
      </patternFill>
    </fill>
    <fill>
      <patternFill patternType="solid">
        <fgColor theme="5" tint="0.59999389629810485"/>
        <bgColor indexed="65"/>
      </patternFill>
    </fill>
    <fill>
      <patternFill patternType="solid">
        <fgColor theme="0"/>
      </patternFill>
    </fill>
    <fill>
      <patternFill patternType="solid">
        <fgColor theme="3" tint="0.89999084444715716"/>
        <bgColor indexed="65"/>
      </patternFill>
    </fill>
    <fill>
      <patternFill patternType="solid">
        <fgColor indexed="5"/>
      </patternFill>
    </fill>
    <fill>
      <patternFill patternType="solid">
        <fgColor theme="9" tint="0.39997558519241921"/>
        <bgColor indexed="64"/>
      </patternFill>
    </fill>
    <fill>
      <patternFill patternType="solid">
        <fgColor rgb="FFFFFF00"/>
        <bgColor indexed="22"/>
      </patternFill>
    </fill>
    <fill>
      <patternFill patternType="solid">
        <fgColor rgb="FFFFFF00"/>
        <bgColor indexed="42"/>
      </patternFill>
    </fill>
    <fill>
      <patternFill patternType="solid">
        <fgColor rgb="FFFFFF00"/>
        <bgColor indexed="41"/>
      </patternFill>
    </fill>
    <fill>
      <patternFill patternType="solid">
        <fgColor theme="4" tint="0.59999389629810485"/>
        <bgColor indexed="64"/>
      </patternFill>
    </fill>
    <fill>
      <patternFill patternType="solid">
        <fgColor theme="3" tint="0.39997558519241921"/>
        <bgColor indexed="64"/>
      </patternFill>
    </fill>
  </fills>
  <borders count="15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indexed="8"/>
      </right>
      <top/>
      <bottom/>
      <diagonal/>
    </border>
    <border>
      <left style="thin">
        <color indexed="8"/>
      </left>
      <right style="thin">
        <color indexed="8"/>
      </right>
      <top/>
      <bottom/>
      <diagonal/>
    </border>
    <border>
      <left style="thin">
        <color indexed="8"/>
      </left>
      <right style="medium">
        <color auto="1"/>
      </right>
      <top/>
      <bottom/>
      <diagonal/>
    </border>
    <border>
      <left style="medium">
        <color auto="1"/>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auto="1"/>
      </right>
      <top/>
      <bottom style="thin">
        <color indexed="8"/>
      </bottom>
      <diagonal/>
    </border>
    <border>
      <left style="medium">
        <color auto="1"/>
      </left>
      <right style="thin">
        <color indexed="8"/>
      </right>
      <top style="thin">
        <color indexed="8"/>
      </top>
      <bottom/>
      <diagonal/>
    </border>
    <border>
      <left style="thin">
        <color indexed="8"/>
      </left>
      <right style="thin">
        <color indexed="8"/>
      </right>
      <top style="thin">
        <color indexed="8"/>
      </top>
      <bottom/>
      <diagonal/>
    </border>
    <border>
      <left/>
      <right style="medium">
        <color auto="1"/>
      </right>
      <top/>
      <bottom/>
      <diagonal/>
    </border>
    <border>
      <left style="medium">
        <color auto="1"/>
      </left>
      <right style="thin">
        <color auto="1"/>
      </right>
      <top/>
      <bottom style="thin">
        <color auto="1"/>
      </bottom>
      <diagonal/>
    </border>
    <border>
      <left/>
      <right style="thin">
        <color indexed="8"/>
      </right>
      <top/>
      <bottom style="thin">
        <color indexed="8"/>
      </bottom>
      <diagonal/>
    </border>
    <border>
      <left style="medium">
        <color auto="1"/>
      </left>
      <right style="thin">
        <color auto="1"/>
      </right>
      <top style="thin">
        <color auto="1"/>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thin">
        <color indexed="8"/>
      </right>
      <top/>
      <bottom/>
      <diagonal/>
    </border>
    <border>
      <left style="medium">
        <color auto="1"/>
      </left>
      <right style="thin">
        <color indexed="8"/>
      </right>
      <top style="thin">
        <color indexed="8"/>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diagonal/>
    </border>
    <border>
      <left style="medium">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indexed="8"/>
      </right>
      <top style="thin">
        <color auto="1"/>
      </top>
      <bottom/>
      <diagonal/>
    </border>
    <border>
      <left style="medium">
        <color auto="1"/>
      </left>
      <right style="thin">
        <color indexed="8"/>
      </right>
      <top/>
      <bottom style="medium">
        <color auto="1"/>
      </bottom>
      <diagonal/>
    </border>
    <border>
      <left style="thin">
        <color indexed="8"/>
      </left>
      <right style="thin">
        <color indexed="8"/>
      </right>
      <top/>
      <bottom style="medium">
        <color auto="1"/>
      </bottom>
      <diagonal/>
    </border>
    <border>
      <left style="thin">
        <color indexed="8"/>
      </left>
      <right style="medium">
        <color auto="1"/>
      </right>
      <top/>
      <bottom style="medium">
        <color auto="1"/>
      </bottom>
      <diagonal/>
    </border>
    <border>
      <left style="medium">
        <color auto="1"/>
      </left>
      <right style="thin">
        <color auto="1"/>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rgb="FF000000"/>
      </right>
      <top/>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auto="1"/>
      </left>
      <right/>
      <top/>
      <bottom style="medium">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rgb="FF000000"/>
      </right>
      <top style="medium">
        <color indexed="64"/>
      </top>
      <bottom/>
      <diagonal/>
    </border>
    <border>
      <left style="thin">
        <color indexed="64"/>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bottom style="medium">
        <color indexed="64"/>
      </bottom>
      <diagonal/>
    </border>
    <border>
      <left style="medium">
        <color indexed="64"/>
      </left>
      <right style="thin">
        <color rgb="FF000000"/>
      </right>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right style="thin">
        <color rgb="FF000000"/>
      </right>
      <top style="medium">
        <color indexed="64"/>
      </top>
      <bottom/>
      <diagonal/>
    </border>
    <border>
      <left/>
      <right style="thin">
        <color rgb="FF000000"/>
      </right>
      <top style="thin">
        <color rgb="FF000000"/>
      </top>
      <bottom/>
      <diagonal/>
    </border>
    <border>
      <left style="medium">
        <color auto="1"/>
      </left>
      <right/>
      <top style="thin">
        <color auto="1"/>
      </top>
      <bottom style="double">
        <color auto="1"/>
      </bottom>
      <diagonal/>
    </border>
    <border>
      <left/>
      <right/>
      <top style="thin">
        <color auto="1"/>
      </top>
      <bottom style="double">
        <color auto="1"/>
      </bottom>
      <diagonal/>
    </border>
    <border>
      <left/>
      <right/>
      <top style="thin">
        <color auto="1"/>
      </top>
      <bottom style="medium">
        <color auto="1"/>
      </bottom>
      <diagonal/>
    </border>
    <border>
      <left/>
      <right/>
      <top/>
      <bottom style="double">
        <color auto="1"/>
      </bottom>
      <diagonal/>
    </border>
    <border>
      <left style="thin">
        <color auto="1"/>
      </left>
      <right style="thin">
        <color auto="1"/>
      </right>
      <top/>
      <bottom style="double">
        <color auto="1"/>
      </bottom>
      <diagonal/>
    </border>
    <border>
      <left style="thin">
        <color indexed="64"/>
      </left>
      <right/>
      <top style="thin">
        <color indexed="64"/>
      </top>
      <bottom style="medium">
        <color indexed="64"/>
      </bottom>
      <diagonal/>
    </border>
    <border>
      <left style="thin">
        <color indexed="8"/>
      </left>
      <right/>
      <top/>
      <bottom/>
      <diagonal/>
    </border>
    <border>
      <left style="thin">
        <color indexed="8"/>
      </left>
      <right/>
      <top/>
      <bottom style="thin">
        <color indexed="8"/>
      </bottom>
      <diagonal/>
    </border>
    <border>
      <left style="thin">
        <color indexed="8"/>
      </left>
      <right/>
      <top/>
      <bottom style="medium">
        <color auto="1"/>
      </bottom>
      <diagonal/>
    </border>
    <border>
      <left style="medium">
        <color auto="1"/>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indexed="8"/>
      </left>
      <right/>
      <top style="thin">
        <color indexed="8"/>
      </top>
      <bottom style="thin">
        <color indexed="8"/>
      </bottom>
      <diagonal/>
    </border>
    <border>
      <left style="thin">
        <color indexed="64"/>
      </left>
      <right style="thin">
        <color indexed="64"/>
      </right>
      <top/>
      <bottom/>
      <diagonal/>
    </border>
    <border>
      <left/>
      <right style="thin">
        <color auto="1"/>
      </right>
      <top/>
      <bottom/>
      <diagonal/>
    </border>
    <border>
      <left style="medium">
        <color auto="1"/>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top style="thin">
        <color auto="1"/>
      </top>
      <bottom style="medium">
        <color auto="1"/>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auto="1"/>
      </right>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31" fillId="0" borderId="0" applyNumberFormat="0" applyFill="0" applyBorder="0" applyAlignment="0" applyProtection="0"/>
    <xf numFmtId="0" fontId="48" fillId="0" borderId="0"/>
  </cellStyleXfs>
  <cellXfs count="2705">
    <xf numFmtId="0" fontId="0" fillId="0" borderId="0" xfId="0"/>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0" borderId="6" xfId="0" applyFont="1" applyBorder="1" applyAlignment="1">
      <alignment horizontal="center" vertical="top" wrapText="1"/>
    </xf>
    <xf numFmtId="0" fontId="0" fillId="5" borderId="7" xfId="0" applyFill="1" applyBorder="1" applyAlignment="1">
      <alignment vertical="top" wrapText="1"/>
    </xf>
    <xf numFmtId="0" fontId="0" fillId="5" borderId="8" xfId="0" applyFill="1" applyBorder="1" applyAlignment="1">
      <alignment horizontal="left" vertical="top" wrapText="1"/>
    </xf>
    <xf numFmtId="0" fontId="0" fillId="5" borderId="8" xfId="0" applyFill="1" applyBorder="1" applyAlignment="1">
      <alignment horizontal="center" vertical="top" wrapText="1"/>
    </xf>
    <xf numFmtId="9" fontId="7" fillId="3" borderId="8" xfId="2" applyFont="1" applyFill="1" applyBorder="1" applyAlignment="1">
      <alignment horizontal="center" vertical="top" wrapText="1"/>
    </xf>
    <xf numFmtId="0" fontId="7" fillId="0" borderId="6" xfId="0" applyFont="1" applyBorder="1" applyAlignment="1">
      <alignment horizontal="left" vertical="top" wrapText="1"/>
    </xf>
    <xf numFmtId="0" fontId="0" fillId="5" borderId="9" xfId="0" applyFill="1" applyBorder="1" applyAlignment="1">
      <alignment vertical="top" wrapText="1"/>
    </xf>
    <xf numFmtId="0" fontId="0" fillId="0" borderId="6" xfId="0" applyBorder="1" applyAlignment="1">
      <alignment horizontal="left" vertical="top" wrapText="1"/>
    </xf>
    <xf numFmtId="0" fontId="0" fillId="0" borderId="6" xfId="0" applyBorder="1" applyAlignment="1">
      <alignment horizontal="center" vertical="top" wrapText="1"/>
    </xf>
    <xf numFmtId="3" fontId="0" fillId="0" borderId="6" xfId="0" applyNumberFormat="1" applyBorder="1" applyAlignment="1">
      <alignment horizontal="center" vertical="top" wrapText="1"/>
    </xf>
    <xf numFmtId="4" fontId="0" fillId="0" borderId="6" xfId="0" applyNumberFormat="1" applyBorder="1" applyAlignment="1">
      <alignment horizontal="center" vertical="top" wrapText="1"/>
    </xf>
    <xf numFmtId="0" fontId="0" fillId="5" borderId="10" xfId="0" applyFill="1" applyBorder="1" applyAlignment="1">
      <alignment wrapText="1"/>
    </xf>
    <xf numFmtId="0" fontId="0" fillId="5" borderId="10" xfId="0" applyFill="1" applyBorder="1" applyAlignment="1">
      <alignment horizontal="center" vertical="top" wrapText="1"/>
    </xf>
    <xf numFmtId="0" fontId="0" fillId="0" borderId="10" xfId="0" applyBorder="1" applyAlignment="1">
      <alignment horizontal="center" vertical="top" wrapText="1"/>
    </xf>
    <xf numFmtId="0" fontId="7" fillId="0" borderId="10" xfId="0" applyFont="1" applyBorder="1" applyAlignment="1">
      <alignment horizontal="left" vertical="top" wrapText="1"/>
    </xf>
    <xf numFmtId="0" fontId="0" fillId="5" borderId="10" xfId="0" applyFill="1" applyBorder="1" applyAlignment="1">
      <alignment vertical="top" wrapText="1"/>
    </xf>
    <xf numFmtId="9" fontId="7" fillId="3" borderId="12" xfId="2" applyFont="1" applyFill="1" applyBorder="1" applyAlignment="1">
      <alignment horizontal="center" vertical="top" wrapText="1"/>
    </xf>
    <xf numFmtId="0" fontId="7" fillId="0" borderId="4" xfId="0" applyFont="1" applyBorder="1" applyAlignment="1">
      <alignment wrapText="1"/>
    </xf>
    <xf numFmtId="0" fontId="7" fillId="0" borderId="13" xfId="0" applyFont="1" applyBorder="1" applyAlignment="1">
      <alignment wrapText="1"/>
    </xf>
    <xf numFmtId="0" fontId="6" fillId="0" borderId="13" xfId="0" applyFont="1" applyBorder="1" applyAlignment="1">
      <alignment wrapText="1"/>
    </xf>
    <xf numFmtId="0" fontId="7" fillId="0" borderId="0" xfId="0" applyFont="1" applyAlignment="1">
      <alignment wrapText="1"/>
    </xf>
    <xf numFmtId="0" fontId="0" fillId="5" borderId="15" xfId="0" applyFill="1" applyBorder="1" applyAlignment="1">
      <alignment vertical="top" wrapText="1"/>
    </xf>
    <xf numFmtId="0" fontId="0" fillId="5" borderId="6" xfId="0" applyFill="1" applyBorder="1" applyAlignment="1">
      <alignment horizontal="left" vertical="top" wrapText="1"/>
    </xf>
    <xf numFmtId="0" fontId="0" fillId="5" borderId="6" xfId="0" applyFill="1" applyBorder="1" applyAlignment="1">
      <alignment horizontal="center" vertical="top" wrapText="1"/>
    </xf>
    <xf numFmtId="3" fontId="0" fillId="5" borderId="6" xfId="0" applyNumberFormat="1" applyFill="1" applyBorder="1" applyAlignment="1">
      <alignment horizontal="center" vertical="top" wrapText="1"/>
    </xf>
    <xf numFmtId="9" fontId="7" fillId="3" borderId="6" xfId="2" applyFont="1" applyFill="1" applyBorder="1" applyAlignment="1">
      <alignment horizontal="center" vertical="top" wrapText="1"/>
    </xf>
    <xf numFmtId="0" fontId="7" fillId="0" borderId="6" xfId="0" applyFont="1" applyBorder="1" applyAlignment="1">
      <alignment vertical="top" wrapText="1"/>
    </xf>
    <xf numFmtId="0" fontId="8" fillId="5" borderId="6" xfId="0" applyFont="1" applyFill="1" applyBorder="1" applyAlignment="1">
      <alignment horizontal="left" vertical="top" wrapText="1"/>
    </xf>
    <xf numFmtId="0" fontId="0" fillId="5" borderId="6" xfId="0" applyFill="1" applyBorder="1" applyAlignment="1">
      <alignment vertical="top" wrapText="1"/>
    </xf>
    <xf numFmtId="0" fontId="7" fillId="0" borderId="10" xfId="0" applyFont="1" applyBorder="1" applyAlignment="1">
      <alignment horizontal="center" vertical="top" wrapText="1"/>
    </xf>
    <xf numFmtId="0" fontId="0" fillId="5" borderId="10" xfId="0" applyFill="1" applyBorder="1" applyAlignment="1">
      <alignment horizontal="left" vertical="top" wrapText="1"/>
    </xf>
    <xf numFmtId="9" fontId="7" fillId="3" borderId="10" xfId="2" applyFont="1" applyFill="1" applyBorder="1" applyAlignment="1">
      <alignment horizontal="center" vertical="top" wrapText="1"/>
    </xf>
    <xf numFmtId="0" fontId="7" fillId="0" borderId="10" xfId="0" applyFont="1" applyBorder="1" applyAlignment="1">
      <alignment vertical="top" wrapText="1"/>
    </xf>
    <xf numFmtId="0" fontId="6" fillId="0" borderId="4" xfId="0" applyFont="1" applyBorder="1" applyAlignment="1">
      <alignment wrapText="1"/>
    </xf>
    <xf numFmtId="0" fontId="4" fillId="5" borderId="13" xfId="0" applyFont="1" applyFill="1" applyBorder="1" applyAlignment="1">
      <alignment vertical="top" wrapText="1"/>
    </xf>
    <xf numFmtId="0" fontId="4" fillId="5" borderId="13" xfId="0" applyFont="1" applyFill="1" applyBorder="1" applyAlignment="1">
      <alignment wrapText="1"/>
    </xf>
    <xf numFmtId="0" fontId="4" fillId="5" borderId="0" xfId="0" applyFont="1" applyFill="1" applyAlignment="1">
      <alignment vertical="top" wrapText="1"/>
    </xf>
    <xf numFmtId="0" fontId="0" fillId="5" borderId="0" xfId="0" applyFill="1" applyAlignment="1">
      <alignment wrapText="1"/>
    </xf>
    <xf numFmtId="9" fontId="7" fillId="3" borderId="0" xfId="2" applyFont="1" applyFill="1" applyBorder="1" applyAlignment="1">
      <alignment horizontal="center" vertical="top" wrapText="1"/>
    </xf>
    <xf numFmtId="10" fontId="7" fillId="3" borderId="6" xfId="2" applyNumberFormat="1" applyFont="1" applyFill="1" applyBorder="1" applyAlignment="1">
      <alignment horizontal="center" vertical="top" wrapText="1"/>
    </xf>
    <xf numFmtId="0" fontId="0" fillId="0" borderId="0" xfId="0" applyAlignment="1">
      <alignment horizontal="left" vertical="top" wrapText="1"/>
    </xf>
    <xf numFmtId="9" fontId="0" fillId="5" borderId="6" xfId="2" applyFont="1" applyFill="1" applyBorder="1" applyAlignment="1">
      <alignment horizontal="center" vertical="top" wrapText="1"/>
    </xf>
    <xf numFmtId="9" fontId="0" fillId="5" borderId="6" xfId="0" applyNumberFormat="1" applyFill="1" applyBorder="1" applyAlignment="1">
      <alignment horizontal="center" vertical="top" wrapText="1"/>
    </xf>
    <xf numFmtId="0" fontId="7" fillId="0" borderId="6" xfId="0" applyFont="1" applyBorder="1" applyAlignment="1">
      <alignment wrapText="1"/>
    </xf>
    <xf numFmtId="0" fontId="0" fillId="5" borderId="6" xfId="0" applyFill="1" applyBorder="1" applyAlignment="1">
      <alignment horizontal="center" wrapText="1"/>
    </xf>
    <xf numFmtId="0" fontId="7" fillId="0" borderId="0" xfId="0" applyFont="1" applyAlignment="1">
      <alignment horizontal="center" vertical="top" wrapText="1"/>
    </xf>
    <xf numFmtId="0" fontId="0" fillId="0" borderId="17" xfId="0" applyBorder="1" applyAlignment="1">
      <alignment horizontal="left" wrapText="1"/>
    </xf>
    <xf numFmtId="0" fontId="0" fillId="0" borderId="6" xfId="0" applyBorder="1" applyAlignment="1">
      <alignment wrapText="1"/>
    </xf>
    <xf numFmtId="0" fontId="0" fillId="0" borderId="6" xfId="0" applyBorder="1" applyAlignment="1">
      <alignment horizontal="center" wrapText="1"/>
    </xf>
    <xf numFmtId="2" fontId="7" fillId="0" borderId="6" xfId="2" applyNumberFormat="1" applyFont="1" applyFill="1" applyBorder="1" applyAlignment="1">
      <alignment wrapText="1"/>
    </xf>
    <xf numFmtId="0" fontId="7" fillId="0" borderId="8" xfId="0" applyFont="1" applyBorder="1" applyAlignment="1">
      <alignment horizontal="center" vertical="top" wrapText="1"/>
    </xf>
    <xf numFmtId="0" fontId="0" fillId="5" borderId="8" xfId="0" applyFill="1" applyBorder="1" applyAlignment="1">
      <alignment vertical="top" wrapText="1"/>
    </xf>
    <xf numFmtId="0" fontId="3" fillId="0" borderId="6" xfId="0" applyFont="1" applyBorder="1" applyAlignment="1">
      <alignment horizontal="center" vertical="top" wrapText="1"/>
    </xf>
    <xf numFmtId="0" fontId="10" fillId="0" borderId="6" xfId="0" applyFont="1" applyBorder="1" applyAlignment="1">
      <alignment vertical="top" wrapText="1"/>
    </xf>
    <xf numFmtId="0" fontId="0" fillId="0" borderId="15" xfId="0" applyBorder="1" applyAlignment="1">
      <alignment horizontal="left" vertical="top" wrapText="1"/>
    </xf>
    <xf numFmtId="0" fontId="0" fillId="5" borderId="15" xfId="0" applyFill="1" applyBorder="1" applyAlignment="1">
      <alignment horizontal="left" vertical="top" wrapText="1"/>
    </xf>
    <xf numFmtId="0" fontId="0" fillId="0" borderId="6" xfId="0" applyBorder="1" applyAlignment="1">
      <alignment vertical="top" wrapText="1"/>
    </xf>
    <xf numFmtId="0" fontId="11" fillId="0" borderId="6" xfId="0" applyFont="1" applyBorder="1" applyAlignment="1">
      <alignment vertical="top" wrapText="1"/>
    </xf>
    <xf numFmtId="0" fontId="3" fillId="5" borderId="8" xfId="0" applyFont="1" applyFill="1" applyBorder="1" applyAlignment="1">
      <alignment horizontal="left" vertical="top" wrapText="1"/>
    </xf>
    <xf numFmtId="0" fontId="3" fillId="5" borderId="8" xfId="0" applyFont="1" applyFill="1" applyBorder="1" applyAlignment="1">
      <alignment horizontal="center" vertical="top" wrapText="1"/>
    </xf>
    <xf numFmtId="0" fontId="0" fillId="0" borderId="8" xfId="0" applyBorder="1" applyAlignment="1">
      <alignment horizontal="left" vertical="top" wrapText="1"/>
    </xf>
    <xf numFmtId="0" fontId="0" fillId="0" borderId="8" xfId="0" applyBorder="1" applyAlignment="1">
      <alignment horizontal="center" vertical="top" wrapText="1"/>
    </xf>
    <xf numFmtId="0" fontId="0" fillId="0" borderId="10" xfId="0" applyBorder="1" applyAlignment="1">
      <alignment horizontal="left" vertical="top" wrapText="1"/>
    </xf>
    <xf numFmtId="3" fontId="0" fillId="0" borderId="10" xfId="0" applyNumberFormat="1" applyBorder="1" applyAlignment="1">
      <alignment horizontal="center" vertical="top" wrapText="1"/>
    </xf>
    <xf numFmtId="0" fontId="0" fillId="0" borderId="15" xfId="0" applyBorder="1" applyAlignment="1">
      <alignment vertical="top" wrapText="1"/>
    </xf>
    <xf numFmtId="3" fontId="8" fillId="0" borderId="6" xfId="0" applyNumberFormat="1" applyFont="1" applyBorder="1" applyAlignment="1">
      <alignment horizontal="center" vertical="top" wrapText="1"/>
    </xf>
    <xf numFmtId="0" fontId="0" fillId="0" borderId="9" xfId="0" applyBorder="1" applyAlignment="1">
      <alignment vertical="top" wrapText="1"/>
    </xf>
    <xf numFmtId="3" fontId="8" fillId="0" borderId="10" xfId="0" applyNumberFormat="1" applyFont="1" applyBorder="1" applyAlignment="1">
      <alignment horizontal="center" vertical="top" wrapText="1"/>
    </xf>
    <xf numFmtId="0" fontId="7" fillId="0" borderId="4" xfId="0" applyFont="1" applyBorder="1" applyAlignment="1">
      <alignment vertical="top" wrapText="1"/>
    </xf>
    <xf numFmtId="0" fontId="0" fillId="5" borderId="13" xfId="0" applyFill="1" applyBorder="1" applyAlignment="1">
      <alignment vertical="top" wrapText="1"/>
    </xf>
    <xf numFmtId="0" fontId="4" fillId="5" borderId="13" xfId="0" applyFont="1" applyFill="1" applyBorder="1" applyAlignment="1">
      <alignment horizontal="center" vertical="top" wrapText="1"/>
    </xf>
    <xf numFmtId="3" fontId="4" fillId="0" borderId="13" xfId="0" applyNumberFormat="1" applyFont="1" applyBorder="1" applyAlignment="1">
      <alignment horizontal="center" vertical="top" wrapText="1"/>
    </xf>
    <xf numFmtId="0" fontId="4" fillId="0" borderId="13" xfId="0" applyFont="1" applyBorder="1" applyAlignment="1">
      <alignment horizontal="center" vertical="top" wrapText="1"/>
    </xf>
    <xf numFmtId="0" fontId="7" fillId="5" borderId="0" xfId="0" applyFont="1" applyFill="1" applyAlignment="1">
      <alignment horizontal="center" vertical="top" wrapText="1"/>
    </xf>
    <xf numFmtId="0" fontId="7" fillId="5" borderId="8" xfId="0" applyFont="1" applyFill="1" applyBorder="1" applyAlignment="1">
      <alignment wrapText="1"/>
    </xf>
    <xf numFmtId="0" fontId="7" fillId="5" borderId="0" xfId="0" applyFont="1" applyFill="1" applyAlignment="1">
      <alignment wrapText="1"/>
    </xf>
    <xf numFmtId="0" fontId="7" fillId="0" borderId="15" xfId="0" applyFont="1" applyBorder="1" applyAlignment="1">
      <alignment horizontal="left" vertical="top" wrapText="1"/>
    </xf>
    <xf numFmtId="0" fontId="0" fillId="0" borderId="10" xfId="0" applyBorder="1" applyAlignment="1">
      <alignment horizontal="center" vertical="top"/>
    </xf>
    <xf numFmtId="0" fontId="0" fillId="0" borderId="12" xfId="0" applyBorder="1" applyAlignment="1">
      <alignment horizontal="center" vertical="top" wrapText="1"/>
    </xf>
    <xf numFmtId="0" fontId="7" fillId="0" borderId="9" xfId="0" applyFont="1" applyBorder="1" applyAlignment="1">
      <alignment horizontal="left" vertical="top" wrapText="1"/>
    </xf>
    <xf numFmtId="0" fontId="4" fillId="0" borderId="5" xfId="0" applyFont="1" applyBorder="1"/>
    <xf numFmtId="0" fontId="4" fillId="0" borderId="2" xfId="0" applyFont="1" applyBorder="1"/>
    <xf numFmtId="0" fontId="7" fillId="0" borderId="7" xfId="0" applyFont="1" applyBorder="1" applyAlignment="1">
      <alignment horizontal="left" vertical="top" wrapText="1"/>
    </xf>
    <xf numFmtId="0" fontId="7" fillId="0" borderId="15" xfId="0" applyFont="1" applyBorder="1" applyAlignment="1">
      <alignment vertical="top" wrapText="1"/>
    </xf>
    <xf numFmtId="0" fontId="7" fillId="0" borderId="9" xfId="0" applyFont="1" applyBorder="1" applyAlignment="1">
      <alignment vertical="top" wrapText="1"/>
    </xf>
    <xf numFmtId="0" fontId="4" fillId="0" borderId="1" xfId="0" applyFont="1" applyBorder="1"/>
    <xf numFmtId="0" fontId="16" fillId="0" borderId="0" xfId="0" applyFont="1" applyAlignment="1">
      <alignment horizontal="left" vertical="top" wrapText="1"/>
    </xf>
    <xf numFmtId="0" fontId="19" fillId="0" borderId="0" xfId="0" applyFont="1"/>
    <xf numFmtId="0" fontId="21"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2" xfId="0" applyFont="1" applyBorder="1" applyAlignment="1">
      <alignment horizontal="center" vertical="center" wrapText="1"/>
    </xf>
    <xf numFmtId="41" fontId="21" fillId="0" borderId="5" xfId="0" applyNumberFormat="1" applyFont="1" applyBorder="1" applyAlignment="1">
      <alignment horizontal="center" vertical="center" wrapText="1"/>
    </xf>
    <xf numFmtId="41" fontId="21" fillId="0" borderId="2" xfId="0" applyNumberFormat="1" applyFont="1" applyBorder="1" applyAlignment="1">
      <alignment horizontal="center" vertical="center" wrapText="1"/>
    </xf>
    <xf numFmtId="0" fontId="24" fillId="0" borderId="0" xfId="0" applyFont="1" applyAlignment="1">
      <alignment vertical="top" wrapText="1"/>
    </xf>
    <xf numFmtId="0" fontId="22" fillId="0" borderId="6" xfId="0" applyFont="1" applyBorder="1" applyAlignment="1">
      <alignment horizontal="left" vertical="top" wrapText="1"/>
    </xf>
    <xf numFmtId="0" fontId="22" fillId="0" borderId="6" xfId="0" applyFont="1" applyBorder="1" applyAlignment="1">
      <alignment horizontal="center" vertical="top" wrapText="1"/>
    </xf>
    <xf numFmtId="0" fontId="22" fillId="0" borderId="6" xfId="0" applyFont="1" applyBorder="1" applyAlignment="1">
      <alignment horizontal="center" vertical="top"/>
    </xf>
    <xf numFmtId="9" fontId="22" fillId="0" borderId="6" xfId="2" applyFont="1" applyBorder="1" applyAlignment="1">
      <alignment horizontal="center" vertical="top" wrapText="1"/>
    </xf>
    <xf numFmtId="0" fontId="25" fillId="0" borderId="23" xfId="0" applyFont="1" applyBorder="1" applyAlignment="1">
      <alignment vertical="top" wrapText="1"/>
    </xf>
    <xf numFmtId="0" fontId="22" fillId="0" borderId="10" xfId="0" applyFont="1" applyBorder="1" applyAlignment="1">
      <alignment horizontal="left" vertical="top" wrapText="1"/>
    </xf>
    <xf numFmtId="0" fontId="22" fillId="0" borderId="10" xfId="0" applyFont="1" applyBorder="1" applyAlignment="1">
      <alignment horizontal="center" vertical="top" wrapText="1"/>
    </xf>
    <xf numFmtId="9" fontId="22" fillId="0" borderId="10" xfId="2" applyFont="1" applyBorder="1" applyAlignment="1">
      <alignment horizontal="center" vertical="top" wrapText="1"/>
    </xf>
    <xf numFmtId="0" fontId="22" fillId="0" borderId="25" xfId="0" applyFont="1" applyBorder="1" applyAlignment="1">
      <alignment vertical="top" wrapText="1"/>
    </xf>
    <xf numFmtId="0" fontId="24" fillId="0" borderId="0" xfId="0" applyFont="1" applyAlignment="1">
      <alignment vertical="top"/>
    </xf>
    <xf numFmtId="0" fontId="19" fillId="9" borderId="4" xfId="0" applyFont="1" applyFill="1" applyBorder="1" applyAlignment="1">
      <alignment horizontal="center" vertical="top" wrapText="1"/>
    </xf>
    <xf numFmtId="0" fontId="26" fillId="9" borderId="13" xfId="0" applyFont="1" applyFill="1" applyBorder="1" applyAlignment="1">
      <alignment horizontal="left" vertical="top" wrapText="1"/>
    </xf>
    <xf numFmtId="0" fontId="19" fillId="9" borderId="13" xfId="0" applyFont="1" applyFill="1" applyBorder="1" applyAlignment="1">
      <alignment horizontal="left" vertical="top" wrapText="1"/>
    </xf>
    <xf numFmtId="0" fontId="19" fillId="9" borderId="13" xfId="0" applyFont="1" applyFill="1" applyBorder="1" applyAlignment="1">
      <alignment horizontal="center" vertical="top" wrapText="1"/>
    </xf>
    <xf numFmtId="41" fontId="19" fillId="9" borderId="13" xfId="0" applyNumberFormat="1" applyFont="1" applyFill="1" applyBorder="1" applyAlignment="1">
      <alignment horizontal="center" vertical="top" wrapText="1"/>
    </xf>
    <xf numFmtId="41" fontId="19" fillId="9" borderId="13" xfId="0" applyNumberFormat="1" applyFont="1" applyFill="1" applyBorder="1" applyAlignment="1">
      <alignment horizontal="center" vertical="top"/>
    </xf>
    <xf numFmtId="9" fontId="20" fillId="9" borderId="13" xfId="2" applyFont="1" applyFill="1" applyBorder="1" applyAlignment="1">
      <alignment horizontal="center" vertical="top" wrapText="1"/>
    </xf>
    <xf numFmtId="0" fontId="19" fillId="0" borderId="20" xfId="0" applyFont="1" applyBorder="1" applyAlignment="1">
      <alignment horizontal="left" vertical="top" wrapText="1"/>
    </xf>
    <xf numFmtId="0" fontId="19" fillId="0" borderId="20" xfId="0" applyFont="1" applyBorder="1" applyAlignment="1">
      <alignment horizontal="center" vertical="top" wrapText="1"/>
    </xf>
    <xf numFmtId="9" fontId="19" fillId="0" borderId="20" xfId="2" applyFont="1" applyBorder="1" applyAlignment="1">
      <alignment horizontal="center" vertical="top" wrapText="1"/>
    </xf>
    <xf numFmtId="0" fontId="19" fillId="0" borderId="21" xfId="0" applyFont="1" applyBorder="1" applyAlignment="1">
      <alignment horizontal="left" vertical="top" wrapText="1"/>
    </xf>
    <xf numFmtId="0" fontId="28" fillId="0" borderId="0" xfId="0" applyFont="1" applyAlignment="1">
      <alignment vertical="top" wrapText="1"/>
    </xf>
    <xf numFmtId="0" fontId="19" fillId="0" borderId="6" xfId="0" applyFont="1" applyBorder="1" applyAlignment="1">
      <alignment horizontal="left" vertical="top" wrapText="1"/>
    </xf>
    <xf numFmtId="0" fontId="19" fillId="0" borderId="6" xfId="0" applyFont="1" applyBorder="1" applyAlignment="1">
      <alignment horizontal="center" vertical="top" wrapText="1"/>
    </xf>
    <xf numFmtId="9" fontId="19" fillId="0" borderId="6" xfId="0" applyNumberFormat="1" applyFont="1" applyBorder="1" applyAlignment="1">
      <alignment horizontal="center" vertical="top" wrapText="1"/>
    </xf>
    <xf numFmtId="9" fontId="19" fillId="0" borderId="6" xfId="2" applyFont="1" applyBorder="1" applyAlignment="1">
      <alignment horizontal="center" vertical="top" wrapText="1"/>
    </xf>
    <xf numFmtId="0" fontId="19" fillId="0" borderId="23" xfId="0" applyFont="1" applyBorder="1" applyAlignment="1">
      <alignment horizontal="left" vertical="top" wrapText="1"/>
    </xf>
    <xf numFmtId="0" fontId="19" fillId="0" borderId="17" xfId="0" applyFont="1" applyBorder="1" applyAlignment="1">
      <alignment horizontal="center" vertical="top" wrapText="1"/>
    </xf>
    <xf numFmtId="0" fontId="19" fillId="0" borderId="6" xfId="0" applyFont="1" applyBorder="1" applyAlignment="1">
      <alignment vertical="top" wrapText="1"/>
    </xf>
    <xf numFmtId="0" fontId="19" fillId="0" borderId="23" xfId="0" applyFont="1" applyBorder="1" applyAlignment="1">
      <alignment vertical="top" wrapText="1"/>
    </xf>
    <xf numFmtId="0" fontId="19" fillId="0" borderId="10" xfId="0" applyFont="1" applyBorder="1" applyAlignment="1">
      <alignment vertical="top" wrapText="1"/>
    </xf>
    <xf numFmtId="0" fontId="19" fillId="0" borderId="10" xfId="0" applyFont="1" applyBorder="1" applyAlignment="1">
      <alignment horizontal="center" vertical="top" wrapText="1"/>
    </xf>
    <xf numFmtId="0" fontId="19" fillId="0" borderId="25" xfId="0" applyFont="1" applyBorder="1" applyAlignment="1">
      <alignment vertical="top" wrapText="1"/>
    </xf>
    <xf numFmtId="0" fontId="19" fillId="9" borderId="13" xfId="0" applyFont="1" applyFill="1" applyBorder="1" applyAlignment="1">
      <alignment vertical="top" wrapText="1"/>
    </xf>
    <xf numFmtId="0" fontId="30" fillId="0" borderId="20" xfId="0" applyFont="1" applyBorder="1" applyAlignment="1">
      <alignment vertical="top" wrapText="1"/>
    </xf>
    <xf numFmtId="0" fontId="30" fillId="0" borderId="20" xfId="0" applyFont="1" applyBorder="1" applyAlignment="1">
      <alignment horizontal="center" vertical="top" wrapText="1"/>
    </xf>
    <xf numFmtId="9" fontId="30" fillId="0" borderId="20" xfId="2" applyFont="1" applyBorder="1" applyAlignment="1">
      <alignment horizontal="center" vertical="top" wrapText="1"/>
    </xf>
    <xf numFmtId="0" fontId="28" fillId="0" borderId="21" xfId="0" applyFont="1" applyBorder="1" applyAlignment="1">
      <alignment vertical="top" wrapText="1"/>
    </xf>
    <xf numFmtId="0" fontId="30" fillId="0" borderId="6" xfId="0" applyFont="1" applyBorder="1" applyAlignment="1">
      <alignment horizontal="left" vertical="top" wrapText="1"/>
    </xf>
    <xf numFmtId="0" fontId="30" fillId="0" borderId="6" xfId="0" applyFont="1" applyBorder="1" applyAlignment="1">
      <alignment horizontal="center" vertical="top" wrapText="1"/>
    </xf>
    <xf numFmtId="41" fontId="30" fillId="0" borderId="6" xfId="0" applyNumberFormat="1" applyFont="1" applyBorder="1" applyAlignment="1">
      <alignment horizontal="center" vertical="top" wrapText="1"/>
    </xf>
    <xf numFmtId="0" fontId="30" fillId="0" borderId="6" xfId="0" applyFont="1" applyBorder="1" applyAlignment="1">
      <alignment horizontal="center" vertical="top"/>
    </xf>
    <xf numFmtId="9" fontId="30" fillId="0" borderId="6" xfId="2" applyFont="1" applyBorder="1" applyAlignment="1">
      <alignment horizontal="center" vertical="top" wrapText="1"/>
    </xf>
    <xf numFmtId="0" fontId="30" fillId="0" borderId="29" xfId="0" applyFont="1" applyBorder="1" applyAlignment="1">
      <alignment horizontal="left" vertical="top" wrapText="1"/>
    </xf>
    <xf numFmtId="0" fontId="30" fillId="0" borderId="29" xfId="0" applyFont="1" applyBorder="1" applyAlignment="1">
      <alignment horizontal="center" vertical="top" wrapText="1"/>
    </xf>
    <xf numFmtId="9" fontId="30" fillId="0" borderId="29" xfId="0" applyNumberFormat="1" applyFont="1" applyBorder="1" applyAlignment="1">
      <alignment horizontal="center" vertical="top" wrapText="1"/>
    </xf>
    <xf numFmtId="9" fontId="30" fillId="0" borderId="29" xfId="0" applyNumberFormat="1" applyFont="1" applyBorder="1" applyAlignment="1">
      <alignment horizontal="center" vertical="top"/>
    </xf>
    <xf numFmtId="9" fontId="30" fillId="0" borderId="29" xfId="2" applyFont="1" applyBorder="1" applyAlignment="1">
      <alignment horizontal="center" vertical="top" wrapText="1"/>
    </xf>
    <xf numFmtId="0" fontId="19" fillId="0" borderId="30" xfId="0" applyFont="1" applyBorder="1" applyAlignment="1">
      <alignment vertical="top" wrapText="1"/>
    </xf>
    <xf numFmtId="9" fontId="19" fillId="9" borderId="13" xfId="2" applyFont="1" applyFill="1" applyBorder="1" applyAlignment="1">
      <alignment horizontal="right" vertical="top" wrapText="1"/>
    </xf>
    <xf numFmtId="0" fontId="30" fillId="0" borderId="20" xfId="0" applyFont="1" applyBorder="1" applyAlignment="1">
      <alignment horizontal="left" vertical="top" wrapText="1"/>
    </xf>
    <xf numFmtId="9" fontId="30" fillId="0" borderId="20" xfId="0" applyNumberFormat="1" applyFont="1" applyBorder="1" applyAlignment="1">
      <alignment horizontal="center" vertical="top" wrapText="1"/>
    </xf>
    <xf numFmtId="165" fontId="30" fillId="0" borderId="20" xfId="2" applyNumberFormat="1" applyFont="1" applyBorder="1" applyAlignment="1">
      <alignment horizontal="center" vertical="top" wrapText="1"/>
    </xf>
    <xf numFmtId="0" fontId="30" fillId="0" borderId="21" xfId="0" applyFont="1" applyBorder="1" applyAlignment="1">
      <alignment horizontal="left" vertical="top" wrapText="1"/>
    </xf>
    <xf numFmtId="165" fontId="30" fillId="0" borderId="20" xfId="2" applyNumberFormat="1" applyFont="1" applyBorder="1" applyAlignment="1">
      <alignment horizontal="right" vertical="top" wrapText="1"/>
    </xf>
    <xf numFmtId="0" fontId="28" fillId="0" borderId="23" xfId="0" applyFont="1" applyBorder="1" applyAlignment="1">
      <alignment horizontal="left" vertical="top" wrapText="1"/>
    </xf>
    <xf numFmtId="0" fontId="30" fillId="0" borderId="30" xfId="0" applyFont="1" applyBorder="1" applyAlignment="1">
      <alignment vertical="top" wrapText="1"/>
    </xf>
    <xf numFmtId="0" fontId="20" fillId="9" borderId="4" xfId="0" applyFont="1" applyFill="1" applyBorder="1" applyAlignment="1">
      <alignment horizontal="center" vertical="top" wrapText="1"/>
    </xf>
    <xf numFmtId="0" fontId="20" fillId="9" borderId="13" xfId="0" applyFont="1" applyFill="1" applyBorder="1" applyAlignment="1">
      <alignment vertical="top" wrapText="1"/>
    </xf>
    <xf numFmtId="0" fontId="20" fillId="9" borderId="13" xfId="0" applyFont="1" applyFill="1" applyBorder="1" applyAlignment="1">
      <alignment horizontal="center" vertical="top" wrapText="1"/>
    </xf>
    <xf numFmtId="0" fontId="20" fillId="9" borderId="13" xfId="0" applyFont="1" applyFill="1" applyBorder="1" applyAlignment="1">
      <alignment horizontal="right" vertical="top" wrapText="1"/>
    </xf>
    <xf numFmtId="0" fontId="32" fillId="3" borderId="31" xfId="0" applyFont="1" applyFill="1" applyBorder="1" applyAlignment="1">
      <alignment horizontal="center" vertical="center" wrapText="1"/>
    </xf>
    <xf numFmtId="0" fontId="32" fillId="3" borderId="32" xfId="0" applyFont="1" applyFill="1" applyBorder="1" applyAlignment="1">
      <alignment horizontal="center" vertical="center" wrapText="1"/>
    </xf>
    <xf numFmtId="0" fontId="32" fillId="3" borderId="33" xfId="0" applyFont="1" applyFill="1" applyBorder="1" applyAlignment="1">
      <alignment horizontal="center" vertical="center" wrapText="1"/>
    </xf>
    <xf numFmtId="0" fontId="32" fillId="3" borderId="34" xfId="0" applyFont="1" applyFill="1" applyBorder="1" applyAlignment="1">
      <alignment horizontal="center" vertical="center" wrapText="1"/>
    </xf>
    <xf numFmtId="41" fontId="32" fillId="9" borderId="32" xfId="0" applyNumberFormat="1" applyFont="1" applyFill="1" applyBorder="1" applyAlignment="1">
      <alignment horizontal="center" vertical="center" wrapText="1"/>
    </xf>
    <xf numFmtId="9" fontId="32" fillId="9" borderId="11" xfId="2" applyFont="1" applyFill="1" applyBorder="1" applyAlignment="1">
      <alignment horizontal="center" vertical="center" wrapText="1"/>
    </xf>
    <xf numFmtId="0" fontId="32" fillId="11" borderId="32" xfId="0" applyFont="1" applyFill="1" applyBorder="1" applyAlignment="1">
      <alignment vertical="center" wrapText="1"/>
    </xf>
    <xf numFmtId="0" fontId="8" fillId="0" borderId="8" xfId="0" applyFont="1" applyBorder="1" applyAlignment="1">
      <alignment horizontal="left" vertical="top" wrapText="1"/>
    </xf>
    <xf numFmtId="0" fontId="8" fillId="0" borderId="8" xfId="0" applyFont="1" applyBorder="1" applyAlignment="1">
      <alignment horizontal="center" vertical="top" wrapText="1"/>
    </xf>
    <xf numFmtId="41" fontId="8" fillId="9" borderId="8" xfId="0" applyNumberFormat="1" applyFont="1" applyFill="1" applyBorder="1" applyAlignment="1">
      <alignment vertical="top" wrapText="1"/>
    </xf>
    <xf numFmtId="9" fontId="8" fillId="9" borderId="8" xfId="2" applyFont="1" applyFill="1" applyBorder="1" applyAlignment="1">
      <alignment horizontal="center" vertical="top" wrapText="1"/>
    </xf>
    <xf numFmtId="0" fontId="8" fillId="11" borderId="8" xfId="0" applyFont="1" applyFill="1" applyBorder="1" applyAlignment="1">
      <alignment vertical="top" wrapText="1"/>
    </xf>
    <xf numFmtId="0" fontId="3" fillId="0" borderId="0" xfId="0" applyFont="1" applyAlignment="1">
      <alignment vertical="top" wrapText="1"/>
    </xf>
    <xf numFmtId="0" fontId="8" fillId="0" borderId="6" xfId="0" applyFont="1" applyBorder="1" applyAlignment="1">
      <alignment horizontal="left" vertical="top" wrapText="1"/>
    </xf>
    <xf numFmtId="0" fontId="8" fillId="0" borderId="6" xfId="0" applyFont="1" applyBorder="1" applyAlignment="1">
      <alignment horizontal="center" vertical="top" wrapText="1"/>
    </xf>
    <xf numFmtId="41" fontId="3" fillId="12" borderId="6" xfId="0" applyNumberFormat="1" applyFont="1" applyFill="1" applyBorder="1" applyAlignment="1">
      <alignment vertical="top" wrapText="1"/>
    </xf>
    <xf numFmtId="9" fontId="8" fillId="9" borderId="6" xfId="2" applyFont="1" applyFill="1" applyBorder="1" applyAlignment="1">
      <alignment horizontal="center" vertical="top" wrapText="1"/>
    </xf>
    <xf numFmtId="0" fontId="8" fillId="11" borderId="6" xfId="0" applyFont="1" applyFill="1" applyBorder="1" applyAlignment="1">
      <alignment vertical="top" wrapText="1"/>
    </xf>
    <xf numFmtId="41" fontId="8" fillId="9" borderId="6" xfId="0" applyNumberFormat="1" applyFont="1" applyFill="1" applyBorder="1" applyAlignment="1">
      <alignment vertical="top" wrapText="1"/>
    </xf>
    <xf numFmtId="0" fontId="8" fillId="0" borderId="0" xfId="0" applyFont="1" applyAlignment="1">
      <alignment vertical="top" wrapText="1"/>
    </xf>
    <xf numFmtId="41" fontId="3" fillId="9" borderId="6" xfId="0" applyNumberFormat="1" applyFont="1" applyFill="1" applyBorder="1" applyAlignment="1">
      <alignment vertical="top" wrapText="1"/>
    </xf>
    <xf numFmtId="0" fontId="8" fillId="0" borderId="6" xfId="0" applyFont="1" applyBorder="1" applyAlignment="1">
      <alignment vertical="top"/>
    </xf>
    <xf numFmtId="3" fontId="8" fillId="0" borderId="6" xfId="0" applyNumberFormat="1" applyFont="1" applyBorder="1" applyAlignment="1">
      <alignment horizontal="center" vertical="top"/>
    </xf>
    <xf numFmtId="0" fontId="8" fillId="0" borderId="6" xfId="0" applyFont="1" applyBorder="1" applyAlignment="1">
      <alignment vertical="top" wrapText="1"/>
    </xf>
    <xf numFmtId="0" fontId="8" fillId="11" borderId="6" xfId="0" applyFont="1" applyFill="1" applyBorder="1" applyAlignment="1">
      <alignment horizontal="left" vertical="top" wrapText="1"/>
    </xf>
    <xf numFmtId="0" fontId="31" fillId="11" borderId="6" xfId="3" applyFill="1" applyBorder="1" applyAlignment="1">
      <alignment vertical="top" wrapText="1"/>
    </xf>
    <xf numFmtId="0" fontId="3" fillId="0" borderId="0" xfId="0" applyFont="1"/>
    <xf numFmtId="0" fontId="3" fillId="0" borderId="0" xfId="0" applyFont="1" applyAlignment="1">
      <alignment vertical="top"/>
    </xf>
    <xf numFmtId="0" fontId="8" fillId="0" borderId="6" xfId="0" applyFont="1" applyBorder="1" applyAlignment="1">
      <alignment horizontal="center" vertical="top"/>
    </xf>
    <xf numFmtId="0" fontId="8" fillId="0" borderId="10" xfId="0" applyFont="1" applyBorder="1" applyAlignment="1">
      <alignment horizontal="center" vertical="top" wrapText="1"/>
    </xf>
    <xf numFmtId="0" fontId="8" fillId="0" borderId="10" xfId="0" applyFont="1" applyBorder="1" applyAlignment="1">
      <alignment horizontal="left" vertical="top" wrapText="1"/>
    </xf>
    <xf numFmtId="41" fontId="8" fillId="9" borderId="8" xfId="0" applyNumberFormat="1" applyFont="1" applyFill="1" applyBorder="1" applyAlignment="1">
      <alignment horizontal="center" vertical="top" wrapText="1"/>
    </xf>
    <xf numFmtId="41" fontId="8" fillId="9" borderId="6" xfId="0" applyNumberFormat="1" applyFont="1" applyFill="1" applyBorder="1" applyAlignment="1">
      <alignment horizontal="center" vertical="top" wrapText="1"/>
    </xf>
    <xf numFmtId="0" fontId="8" fillId="0" borderId="8" xfId="0" applyFont="1" applyBorder="1" applyAlignment="1">
      <alignment vertical="top" wrapText="1"/>
    </xf>
    <xf numFmtId="0" fontId="8" fillId="0" borderId="0" xfId="0" applyFont="1"/>
    <xf numFmtId="0" fontId="37" fillId="4" borderId="1" xfId="0" applyFont="1" applyFill="1" applyBorder="1" applyAlignment="1">
      <alignment horizontal="center" vertical="center" wrapText="1"/>
    </xf>
    <xf numFmtId="0" fontId="37" fillId="4" borderId="5" xfId="0" applyFont="1" applyFill="1" applyBorder="1" applyAlignment="1">
      <alignment horizontal="center" vertical="center" wrapText="1"/>
    </xf>
    <xf numFmtId="41" fontId="37" fillId="4" borderId="37" xfId="0" applyNumberFormat="1" applyFont="1" applyFill="1" applyBorder="1" applyAlignment="1">
      <alignment horizontal="center" vertical="center" wrapText="1"/>
    </xf>
    <xf numFmtId="41" fontId="37" fillId="4" borderId="2" xfId="0" applyNumberFormat="1" applyFont="1" applyFill="1" applyBorder="1" applyAlignment="1">
      <alignment horizontal="center" vertical="center" wrapText="1"/>
    </xf>
    <xf numFmtId="0" fontId="37" fillId="4" borderId="38" xfId="0" applyFont="1" applyFill="1" applyBorder="1" applyAlignment="1">
      <alignment horizontal="center" vertical="center" wrapText="1"/>
    </xf>
    <xf numFmtId="0" fontId="38" fillId="5" borderId="8" xfId="0" applyFont="1" applyFill="1" applyBorder="1" applyAlignment="1">
      <alignment horizontal="center" vertical="top" wrapText="1"/>
    </xf>
    <xf numFmtId="165" fontId="38" fillId="5" borderId="8" xfId="2" applyNumberFormat="1" applyFont="1" applyFill="1" applyBorder="1" applyAlignment="1">
      <alignment horizontal="center" vertical="top"/>
    </xf>
    <xf numFmtId="0" fontId="38" fillId="5" borderId="6" xfId="0" applyFont="1" applyFill="1" applyBorder="1" applyAlignment="1">
      <alignment horizontal="left" vertical="top" wrapText="1"/>
    </xf>
    <xf numFmtId="0" fontId="38" fillId="5" borderId="6" xfId="0" applyFont="1" applyFill="1" applyBorder="1" applyAlignment="1">
      <alignment horizontal="center" vertical="top" wrapText="1"/>
    </xf>
    <xf numFmtId="165" fontId="38" fillId="5" borderId="6" xfId="2" applyNumberFormat="1" applyFont="1" applyFill="1" applyBorder="1" applyAlignment="1">
      <alignment horizontal="center" vertical="top"/>
    </xf>
    <xf numFmtId="0" fontId="38" fillId="5" borderId="6" xfId="0" applyFont="1" applyFill="1" applyBorder="1" applyAlignment="1">
      <alignment vertical="top" wrapText="1"/>
    </xf>
    <xf numFmtId="0" fontId="38" fillId="5" borderId="10" xfId="0" applyFont="1" applyFill="1" applyBorder="1" applyAlignment="1">
      <alignment vertical="top" wrapText="1"/>
    </xf>
    <xf numFmtId="0" fontId="37" fillId="4" borderId="3" xfId="0" applyFont="1" applyFill="1" applyBorder="1" applyAlignment="1">
      <alignment horizontal="center" vertical="center" wrapText="1"/>
    </xf>
    <xf numFmtId="0" fontId="38" fillId="0" borderId="10" xfId="0" applyFont="1" applyBorder="1" applyAlignment="1">
      <alignment horizontal="left" vertical="top" wrapText="1"/>
    </xf>
    <xf numFmtId="0" fontId="38" fillId="5" borderId="10" xfId="0" applyFont="1" applyFill="1" applyBorder="1" applyAlignment="1">
      <alignment horizontal="center" vertical="top" wrapText="1"/>
    </xf>
    <xf numFmtId="0" fontId="38" fillId="5" borderId="10" xfId="0" applyFont="1" applyFill="1" applyBorder="1" applyAlignment="1">
      <alignment vertical="center" wrapText="1"/>
    </xf>
    <xf numFmtId="0" fontId="38" fillId="5" borderId="6"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8" xfId="0" applyFont="1" applyFill="1" applyBorder="1" applyAlignment="1">
      <alignment horizontal="left" vertical="top" wrapText="1"/>
    </xf>
    <xf numFmtId="0" fontId="38" fillId="12" borderId="8" xfId="0" applyFont="1" applyFill="1" applyBorder="1" applyAlignment="1">
      <alignment horizontal="left" vertical="top" wrapText="1"/>
    </xf>
    <xf numFmtId="3" fontId="38" fillId="5" borderId="6" xfId="0" applyNumberFormat="1" applyFont="1" applyFill="1" applyBorder="1" applyAlignment="1">
      <alignment horizontal="center" vertical="top" wrapText="1"/>
    </xf>
    <xf numFmtId="0" fontId="38" fillId="5" borderId="8" xfId="0" applyFont="1" applyFill="1" applyBorder="1" applyAlignment="1">
      <alignment horizontal="left" vertical="center" wrapText="1"/>
    </xf>
    <xf numFmtId="0" fontId="4" fillId="6" borderId="1" xfId="0" applyFont="1" applyFill="1" applyBorder="1" applyAlignment="1">
      <alignment vertical="center"/>
    </xf>
    <xf numFmtId="0" fontId="4" fillId="6" borderId="2" xfId="0" applyFont="1" applyFill="1" applyBorder="1" applyAlignment="1">
      <alignment vertical="center"/>
    </xf>
    <xf numFmtId="0" fontId="4" fillId="6" borderId="2" xfId="0" applyFont="1" applyFill="1" applyBorder="1" applyAlignment="1">
      <alignment horizontal="center" vertical="center"/>
    </xf>
    <xf numFmtId="0" fontId="4" fillId="6" borderId="3" xfId="0" applyFont="1" applyFill="1" applyBorder="1" applyAlignment="1">
      <alignment vertical="center"/>
    </xf>
    <xf numFmtId="0" fontId="4" fillId="0" borderId="5" xfId="0" applyFont="1" applyBorder="1" applyAlignment="1">
      <alignment horizontal="center" vertical="top"/>
    </xf>
    <xf numFmtId="0" fontId="4" fillId="0" borderId="1" xfId="0" applyFont="1" applyBorder="1" applyAlignment="1">
      <alignment vertical="top"/>
    </xf>
    <xf numFmtId="0" fontId="4" fillId="0" borderId="5" xfId="0" applyFont="1" applyBorder="1" applyAlignment="1">
      <alignment vertical="top"/>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vertical="top"/>
    </xf>
    <xf numFmtId="9" fontId="0" fillId="0" borderId="6" xfId="0" applyNumberFormat="1" applyBorder="1" applyAlignment="1">
      <alignment horizontal="center" vertical="top"/>
    </xf>
    <xf numFmtId="0" fontId="0" fillId="0" borderId="8" xfId="0" applyBorder="1" applyAlignment="1">
      <alignment horizontal="center" vertical="top"/>
    </xf>
    <xf numFmtId="0" fontId="1" fillId="0" borderId="8" xfId="0" applyFont="1" applyBorder="1" applyAlignment="1">
      <alignment wrapText="1"/>
    </xf>
    <xf numFmtId="0" fontId="0" fillId="0" borderId="8" xfId="0" applyBorder="1" applyAlignment="1">
      <alignment vertical="top" wrapText="1"/>
    </xf>
    <xf numFmtId="9" fontId="3" fillId="0" borderId="6" xfId="0" applyNumberFormat="1" applyFont="1" applyBorder="1" applyAlignment="1">
      <alignment horizontal="center" vertical="top"/>
    </xf>
    <xf numFmtId="0" fontId="3" fillId="0" borderId="8" xfId="0" applyFont="1" applyBorder="1" applyAlignment="1">
      <alignment vertical="top" wrapText="1"/>
    </xf>
    <xf numFmtId="0" fontId="1" fillId="0" borderId="0" xfId="0" applyFont="1"/>
    <xf numFmtId="0" fontId="4" fillId="6" borderId="3" xfId="0" applyFont="1" applyFill="1" applyBorder="1" applyAlignment="1">
      <alignment horizontal="left" vertical="center"/>
    </xf>
    <xf numFmtId="0" fontId="0" fillId="0" borderId="6" xfId="0" applyBorder="1" applyAlignment="1">
      <alignment horizontal="center" vertical="top"/>
    </xf>
    <xf numFmtId="0" fontId="42" fillId="0" borderId="6" xfId="0" applyFont="1" applyBorder="1" applyAlignment="1">
      <alignment vertical="top" wrapText="1"/>
    </xf>
    <xf numFmtId="0" fontId="0" fillId="0" borderId="6" xfId="0" applyBorder="1" applyAlignment="1">
      <alignment vertical="top"/>
    </xf>
    <xf numFmtId="0" fontId="4" fillId="0" borderId="5" xfId="0" applyFont="1" applyBorder="1" applyAlignment="1">
      <alignment horizontal="center" vertical="center"/>
    </xf>
    <xf numFmtId="0" fontId="4" fillId="0" borderId="2" xfId="0" applyFont="1" applyBorder="1" applyAlignment="1">
      <alignment horizontal="center" vertical="center" wrapText="1"/>
    </xf>
    <xf numFmtId="0" fontId="1" fillId="0" borderId="0" xfId="0" applyFont="1" applyAlignment="1">
      <alignment vertical="top"/>
    </xf>
    <xf numFmtId="0" fontId="0" fillId="0" borderId="6" xfId="0" applyBorder="1"/>
    <xf numFmtId="0" fontId="1" fillId="0" borderId="6" xfId="0" applyFont="1" applyBorder="1" applyAlignment="1">
      <alignment vertical="top" wrapText="1"/>
    </xf>
    <xf numFmtId="0" fontId="3" fillId="0" borderId="6" xfId="0" applyFont="1" applyBorder="1" applyAlignment="1">
      <alignment horizontal="center" vertical="top"/>
    </xf>
    <xf numFmtId="0" fontId="43" fillId="0" borderId="6" xfId="0" applyFont="1" applyBorder="1" applyAlignment="1">
      <alignment wrapText="1"/>
    </xf>
    <xf numFmtId="0" fontId="42" fillId="0" borderId="6" xfId="0" applyFont="1" applyBorder="1"/>
    <xf numFmtId="0" fontId="44" fillId="0" borderId="6" xfId="0" applyFont="1" applyBorder="1" applyAlignment="1">
      <alignment vertical="center" wrapText="1"/>
    </xf>
    <xf numFmtId="9" fontId="8" fillId="0" borderId="6" xfId="0" applyNumberFormat="1" applyFont="1" applyBorder="1" applyAlignment="1">
      <alignment horizontal="center" vertical="top"/>
    </xf>
    <xf numFmtId="0" fontId="8" fillId="0" borderId="6" xfId="0" applyFont="1" applyBorder="1" applyAlignment="1">
      <alignment wrapText="1"/>
    </xf>
    <xf numFmtId="0" fontId="8" fillId="0" borderId="6" xfId="0" applyFont="1" applyBorder="1"/>
    <xf numFmtId="0" fontId="49" fillId="17" borderId="42" xfId="0" applyFont="1" applyFill="1" applyBorder="1" applyAlignment="1">
      <alignment vertical="top" wrapText="1"/>
    </xf>
    <xf numFmtId="0" fontId="49" fillId="17" borderId="43" xfId="0" applyFont="1" applyFill="1" applyBorder="1" applyAlignment="1">
      <alignment vertical="top" wrapText="1"/>
    </xf>
    <xf numFmtId="0" fontId="49" fillId="17" borderId="43" xfId="0" applyFont="1" applyFill="1" applyBorder="1" applyAlignment="1">
      <alignment horizontal="center" vertical="top"/>
    </xf>
    <xf numFmtId="0" fontId="50" fillId="5" borderId="43" xfId="4" applyFont="1" applyFill="1" applyBorder="1" applyAlignment="1">
      <alignment horizontal="center" vertical="top"/>
    </xf>
    <xf numFmtId="0" fontId="49" fillId="18" borderId="43" xfId="4" applyFont="1" applyFill="1" applyBorder="1" applyAlignment="1">
      <alignment horizontal="center" vertical="top"/>
    </xf>
    <xf numFmtId="9" fontId="49" fillId="5" borderId="43" xfId="2" applyFont="1" applyFill="1" applyBorder="1" applyAlignment="1" applyProtection="1">
      <alignment horizontal="center" vertical="top"/>
    </xf>
    <xf numFmtId="0" fontId="51" fillId="17" borderId="44" xfId="4" applyFont="1" applyFill="1" applyBorder="1" applyAlignment="1">
      <alignment horizontal="left" vertical="center" wrapText="1"/>
    </xf>
    <xf numFmtId="0" fontId="51" fillId="17" borderId="46" xfId="0" applyFont="1" applyFill="1" applyBorder="1" applyAlignment="1">
      <alignment vertical="top" wrapText="1"/>
    </xf>
    <xf numFmtId="0" fontId="51" fillId="17" borderId="46" xfId="0" applyFont="1" applyFill="1" applyBorder="1" applyAlignment="1">
      <alignment horizontal="center" vertical="top"/>
    </xf>
    <xf numFmtId="9" fontId="52" fillId="5" borderId="46" xfId="2" applyFont="1" applyFill="1" applyBorder="1" applyAlignment="1" applyProtection="1">
      <alignment horizontal="center" vertical="top"/>
    </xf>
    <xf numFmtId="166" fontId="51" fillId="5" borderId="46" xfId="4" applyNumberFormat="1" applyFont="1" applyFill="1" applyBorder="1" applyAlignment="1">
      <alignment horizontal="center" vertical="top"/>
    </xf>
    <xf numFmtId="0" fontId="51" fillId="18" borderId="46" xfId="4" applyFont="1" applyFill="1" applyBorder="1" applyAlignment="1">
      <alignment horizontal="center" vertical="top"/>
    </xf>
    <xf numFmtId="0" fontId="49" fillId="17" borderId="49" xfId="0" applyFont="1" applyFill="1" applyBorder="1" applyAlignment="1">
      <alignment vertical="top" wrapText="1"/>
    </xf>
    <xf numFmtId="0" fontId="49" fillId="17" borderId="49" xfId="0" applyFont="1" applyFill="1" applyBorder="1" applyAlignment="1">
      <alignment horizontal="center" vertical="center"/>
    </xf>
    <xf numFmtId="0" fontId="0" fillId="0" borderId="0" xfId="0" applyAlignment="1">
      <alignment horizontal="justify"/>
    </xf>
    <xf numFmtId="0" fontId="49" fillId="17" borderId="51" xfId="0" applyFont="1" applyFill="1" applyBorder="1" applyAlignment="1">
      <alignment horizontal="center" vertical="top" wrapText="1"/>
    </xf>
    <xf numFmtId="0" fontId="49" fillId="17" borderId="52" xfId="0" applyFont="1" applyFill="1" applyBorder="1" applyAlignment="1">
      <alignment vertical="top" wrapText="1"/>
    </xf>
    <xf numFmtId="0" fontId="49" fillId="17" borderId="46" xfId="0" applyFont="1" applyFill="1" applyBorder="1" applyAlignment="1">
      <alignment vertical="top" wrapText="1"/>
    </xf>
    <xf numFmtId="0" fontId="49" fillId="17" borderId="46" xfId="0" applyFont="1" applyFill="1" applyBorder="1" applyAlignment="1">
      <alignment horizontal="center" vertical="top"/>
    </xf>
    <xf numFmtId="3" fontId="50" fillId="5" borderId="46" xfId="4" applyNumberFormat="1" applyFont="1" applyFill="1" applyBorder="1" applyAlignment="1">
      <alignment horizontal="center" vertical="top"/>
    </xf>
    <xf numFmtId="0" fontId="49" fillId="18" borderId="46" xfId="4" applyFont="1" applyFill="1" applyBorder="1" applyAlignment="1">
      <alignment horizontal="center" vertical="top"/>
    </xf>
    <xf numFmtId="9" fontId="49" fillId="5" borderId="46" xfId="2" applyFont="1" applyFill="1" applyBorder="1" applyAlignment="1" applyProtection="1">
      <alignment vertical="top"/>
    </xf>
    <xf numFmtId="0" fontId="49" fillId="17" borderId="44" xfId="4" applyFont="1" applyFill="1" applyBorder="1" applyAlignment="1">
      <alignment horizontal="left" vertical="top" wrapText="1"/>
    </xf>
    <xf numFmtId="0" fontId="49" fillId="17" borderId="55" xfId="0" applyFont="1" applyFill="1" applyBorder="1" applyAlignment="1">
      <alignment horizontal="left" vertical="top" wrapText="1"/>
    </xf>
    <xf numFmtId="0" fontId="49" fillId="17" borderId="55" xfId="0" applyFont="1" applyFill="1" applyBorder="1" applyAlignment="1">
      <alignment horizontal="center" vertical="center"/>
    </xf>
    <xf numFmtId="3" fontId="49" fillId="5" borderId="55" xfId="4" applyNumberFormat="1" applyFont="1" applyFill="1" applyBorder="1" applyAlignment="1">
      <alignment horizontal="center" vertical="center"/>
    </xf>
    <xf numFmtId="3" fontId="49" fillId="18" borderId="55" xfId="4" applyNumberFormat="1" applyFont="1" applyFill="1" applyBorder="1" applyAlignment="1">
      <alignment horizontal="center" vertical="center"/>
    </xf>
    <xf numFmtId="9" fontId="49" fillId="5" borderId="56" xfId="2" applyFont="1" applyFill="1" applyBorder="1" applyAlignment="1" applyProtection="1">
      <alignment horizontal="center" vertical="center"/>
    </xf>
    <xf numFmtId="0" fontId="49" fillId="17" borderId="57" xfId="4" applyFont="1" applyFill="1" applyBorder="1" applyAlignment="1">
      <alignment vertical="center" wrapText="1"/>
    </xf>
    <xf numFmtId="3" fontId="51" fillId="5" borderId="55" xfId="4" applyNumberFormat="1" applyFont="1" applyFill="1" applyBorder="1" applyAlignment="1">
      <alignment horizontal="center" vertical="center"/>
    </xf>
    <xf numFmtId="0" fontId="49" fillId="5" borderId="49" xfId="4" applyFont="1" applyFill="1" applyBorder="1" applyAlignment="1">
      <alignment horizontal="center" vertical="center"/>
    </xf>
    <xf numFmtId="0" fontId="49" fillId="18" borderId="49" xfId="4" applyFont="1" applyFill="1" applyBorder="1" applyAlignment="1">
      <alignment horizontal="center" vertical="center"/>
    </xf>
    <xf numFmtId="3" fontId="0" fillId="0" borderId="0" xfId="0" applyNumberFormat="1"/>
    <xf numFmtId="0" fontId="49" fillId="17" borderId="59" xfId="0" applyFont="1" applyFill="1" applyBorder="1" applyAlignment="1">
      <alignment horizontal="center" vertical="top" wrapText="1"/>
    </xf>
    <xf numFmtId="0" fontId="49" fillId="17" borderId="43" xfId="0" applyFont="1" applyFill="1" applyBorder="1" applyAlignment="1">
      <alignment horizontal="left" vertical="top" wrapText="1"/>
    </xf>
    <xf numFmtId="0" fontId="49" fillId="17" borderId="43" xfId="0" applyFont="1" applyFill="1" applyBorder="1" applyAlignment="1">
      <alignment horizontal="center" vertical="center"/>
    </xf>
    <xf numFmtId="0" fontId="49" fillId="5" borderId="43" xfId="4" applyFont="1" applyFill="1" applyBorder="1" applyAlignment="1">
      <alignment horizontal="center" vertical="center"/>
    </xf>
    <xf numFmtId="3" fontId="49" fillId="18" borderId="43" xfId="4" applyNumberFormat="1" applyFont="1" applyFill="1" applyBorder="1" applyAlignment="1">
      <alignment horizontal="center" vertical="center"/>
    </xf>
    <xf numFmtId="9" fontId="49" fillId="5" borderId="43" xfId="2" applyFont="1" applyFill="1" applyBorder="1" applyAlignment="1" applyProtection="1">
      <alignment horizontal="center" vertical="center"/>
    </xf>
    <xf numFmtId="0" fontId="49" fillId="17" borderId="44" xfId="4" applyFont="1" applyFill="1" applyBorder="1" applyAlignment="1">
      <alignment horizontal="left" vertical="center" wrapText="1"/>
    </xf>
    <xf numFmtId="0" fontId="49" fillId="17" borderId="60" xfId="0" applyFont="1" applyFill="1" applyBorder="1" applyAlignment="1">
      <alignment horizontal="center" vertical="top" wrapText="1"/>
    </xf>
    <xf numFmtId="0" fontId="49" fillId="17" borderId="55" xfId="0" applyFont="1" applyFill="1" applyBorder="1" applyAlignment="1">
      <alignment vertical="top" wrapText="1"/>
    </xf>
    <xf numFmtId="0" fontId="49" fillId="5" borderId="55" xfId="4" applyFont="1" applyFill="1" applyBorder="1" applyAlignment="1">
      <alignment horizontal="center" vertical="center"/>
    </xf>
    <xf numFmtId="0" fontId="49" fillId="18" borderId="55" xfId="4" applyFont="1" applyFill="1" applyBorder="1" applyAlignment="1">
      <alignment horizontal="center" vertical="center"/>
    </xf>
    <xf numFmtId="9" fontId="49" fillId="5" borderId="55" xfId="2" applyFont="1" applyFill="1" applyBorder="1" applyAlignment="1" applyProtection="1">
      <alignment horizontal="center" vertical="center"/>
    </xf>
    <xf numFmtId="0" fontId="49" fillId="17" borderId="61" xfId="4" applyFont="1" applyFill="1" applyBorder="1" applyAlignment="1">
      <alignment horizontal="left" vertical="center" wrapText="1"/>
    </xf>
    <xf numFmtId="0" fontId="49" fillId="17" borderId="48" xfId="0" applyFont="1" applyFill="1" applyBorder="1" applyAlignment="1">
      <alignment horizontal="center" vertical="top" wrapText="1"/>
    </xf>
    <xf numFmtId="9" fontId="49" fillId="5" borderId="49" xfId="2" applyFont="1" applyFill="1" applyBorder="1" applyAlignment="1" applyProtection="1">
      <alignment horizontal="center" vertical="center"/>
    </xf>
    <xf numFmtId="0" fontId="49" fillId="17" borderId="62" xfId="4" applyFont="1" applyFill="1" applyBorder="1" applyAlignment="1">
      <alignment horizontal="left" vertical="center" wrapText="1"/>
    </xf>
    <xf numFmtId="0" fontId="49" fillId="17" borderId="52" xfId="0" applyFont="1" applyFill="1" applyBorder="1" applyAlignment="1">
      <alignment vertical="center" wrapText="1"/>
    </xf>
    <xf numFmtId="0" fontId="49" fillId="17" borderId="46" xfId="0" applyFont="1" applyFill="1" applyBorder="1" applyAlignment="1">
      <alignment horizontal="center" vertical="center"/>
    </xf>
    <xf numFmtId="0" fontId="0" fillId="0" borderId="0" xfId="0" applyAlignment="1">
      <alignment vertical="center" wrapText="1"/>
    </xf>
    <xf numFmtId="0" fontId="49" fillId="17" borderId="62" xfId="4" applyFont="1" applyFill="1" applyBorder="1" applyAlignment="1">
      <alignment horizontal="left" vertical="center"/>
    </xf>
    <xf numFmtId="0" fontId="49" fillId="17" borderId="55" xfId="0" applyFont="1" applyFill="1" applyBorder="1" applyAlignment="1">
      <alignment vertical="center" wrapText="1"/>
    </xf>
    <xf numFmtId="0" fontId="51" fillId="5" borderId="56" xfId="4" applyFont="1" applyFill="1" applyBorder="1" applyAlignment="1">
      <alignment horizontal="center" vertical="center"/>
    </xf>
    <xf numFmtId="0" fontId="53" fillId="17" borderId="62" xfId="4" applyFont="1" applyFill="1" applyBorder="1" applyAlignment="1">
      <alignment horizontal="left" vertical="center" wrapText="1"/>
    </xf>
    <xf numFmtId="0" fontId="49" fillId="17" borderId="49" xfId="0" applyFont="1" applyFill="1" applyBorder="1" applyAlignment="1">
      <alignment vertical="center" wrapText="1"/>
    </xf>
    <xf numFmtId="0" fontId="49" fillId="5" borderId="43" xfId="4" applyFont="1" applyFill="1" applyBorder="1" applyAlignment="1">
      <alignment horizontal="center" vertical="top"/>
    </xf>
    <xf numFmtId="0" fontId="0" fillId="0" borderId="0" xfId="0" applyAlignment="1">
      <alignment wrapText="1"/>
    </xf>
    <xf numFmtId="0" fontId="51" fillId="17" borderId="67" xfId="0" applyFont="1" applyFill="1" applyBorder="1" applyAlignment="1">
      <alignment horizontal="center" vertical="top" wrapText="1"/>
    </xf>
    <xf numFmtId="0" fontId="49" fillId="17" borderId="68" xfId="0" applyFont="1" applyFill="1" applyBorder="1" applyAlignment="1">
      <alignment vertical="top" wrapText="1"/>
    </xf>
    <xf numFmtId="0" fontId="49" fillId="17" borderId="68" xfId="0" applyFont="1" applyFill="1" applyBorder="1" applyAlignment="1">
      <alignment horizontal="left" vertical="top" wrapText="1"/>
    </xf>
    <xf numFmtId="0" fontId="49" fillId="17" borderId="68" xfId="0" applyFont="1" applyFill="1" applyBorder="1" applyAlignment="1">
      <alignment horizontal="center" vertical="top"/>
    </xf>
    <xf numFmtId="0" fontId="50" fillId="5" borderId="68" xfId="4" applyFont="1" applyFill="1" applyBorder="1" applyAlignment="1">
      <alignment horizontal="center" vertical="top"/>
    </xf>
    <xf numFmtId="0" fontId="49" fillId="18" borderId="68" xfId="4" applyFont="1" applyFill="1" applyBorder="1" applyAlignment="1">
      <alignment horizontal="center" vertical="top"/>
    </xf>
    <xf numFmtId="9" fontId="49" fillId="5" borderId="68" xfId="2" applyFont="1" applyFill="1" applyBorder="1" applyAlignment="1" applyProtection="1">
      <alignment horizontal="center" vertical="top"/>
    </xf>
    <xf numFmtId="0" fontId="49" fillId="17" borderId="69" xfId="4" applyFont="1" applyFill="1" applyBorder="1" applyAlignment="1">
      <alignment horizontal="left" vertical="top" wrapText="1"/>
    </xf>
    <xf numFmtId="0" fontId="3" fillId="0" borderId="0" xfId="0" applyFont="1" applyAlignment="1">
      <alignment horizontal="left" vertical="top" wrapText="1"/>
    </xf>
    <xf numFmtId="0" fontId="3" fillId="5" borderId="0" xfId="0" applyFont="1" applyFill="1" applyAlignment="1">
      <alignment horizontal="left" vertical="top" wrapText="1"/>
    </xf>
    <xf numFmtId="0" fontId="0" fillId="5" borderId="10" xfId="0" applyFill="1" applyBorder="1" applyAlignment="1">
      <alignment horizontal="center" vertical="top"/>
    </xf>
    <xf numFmtId="0" fontId="0" fillId="5" borderId="4" xfId="0" applyFill="1" applyBorder="1" applyAlignment="1">
      <alignment horizontal="center" vertical="top"/>
    </xf>
    <xf numFmtId="0" fontId="0" fillId="5" borderId="13" xfId="0" applyFill="1" applyBorder="1" applyAlignment="1">
      <alignment horizontal="left" vertical="top" wrapText="1"/>
    </xf>
    <xf numFmtId="0" fontId="4" fillId="5" borderId="13" xfId="0" applyFont="1" applyFill="1" applyBorder="1" applyAlignment="1">
      <alignment horizontal="right" vertical="top" wrapText="1"/>
    </xf>
    <xf numFmtId="0" fontId="4" fillId="5" borderId="13" xfId="0" applyFont="1" applyFill="1" applyBorder="1" applyAlignment="1">
      <alignment horizontal="center" vertical="top"/>
    </xf>
    <xf numFmtId="9" fontId="4" fillId="5" borderId="13" xfId="2" applyFont="1" applyFill="1" applyBorder="1" applyAlignment="1">
      <alignment horizontal="center" vertical="top"/>
    </xf>
    <xf numFmtId="0" fontId="4" fillId="0" borderId="4" xfId="0" applyFont="1" applyBorder="1" applyAlignment="1">
      <alignment horizontal="center" vertical="top"/>
    </xf>
    <xf numFmtId="0" fontId="4" fillId="0" borderId="13" xfId="0" applyFont="1" applyBorder="1" applyAlignment="1">
      <alignment vertical="top" wrapText="1"/>
    </xf>
    <xf numFmtId="0" fontId="4" fillId="0" borderId="13" xfId="0" applyFont="1" applyBorder="1" applyAlignment="1">
      <alignment horizontal="right" vertical="top" wrapText="1"/>
    </xf>
    <xf numFmtId="0" fontId="4" fillId="21" borderId="13" xfId="0" applyFont="1" applyFill="1" applyBorder="1" applyAlignment="1">
      <alignment horizontal="center" vertical="top"/>
    </xf>
    <xf numFmtId="9" fontId="4" fillId="21" borderId="13" xfId="2" applyFont="1" applyFill="1" applyBorder="1" applyAlignment="1">
      <alignment horizontal="center" vertical="top"/>
    </xf>
    <xf numFmtId="0" fontId="4" fillId="0" borderId="13" xfId="0" applyFont="1" applyBorder="1" applyAlignment="1">
      <alignment horizontal="left" vertical="top" wrapText="1"/>
    </xf>
    <xf numFmtId="0" fontId="4" fillId="0" borderId="18" xfId="0" applyFont="1" applyBorder="1" applyAlignment="1">
      <alignment horizontal="center" vertical="top"/>
    </xf>
    <xf numFmtId="0" fontId="4" fillId="0" borderId="12" xfId="0" applyFont="1" applyBorder="1" applyAlignment="1">
      <alignment horizontal="left" vertical="top" wrapText="1"/>
    </xf>
    <xf numFmtId="0" fontId="4" fillId="0" borderId="12" xfId="0" applyFont="1" applyBorder="1" applyAlignment="1">
      <alignment horizontal="right" vertical="top" wrapText="1"/>
    </xf>
    <xf numFmtId="0" fontId="4" fillId="0" borderId="12" xfId="0" applyFont="1" applyBorder="1" applyAlignment="1">
      <alignment horizontal="center" vertical="top" wrapText="1"/>
    </xf>
    <xf numFmtId="9" fontId="4" fillId="21" borderId="12" xfId="2" applyFont="1" applyFill="1" applyBorder="1" applyAlignment="1">
      <alignment horizontal="center" vertical="top"/>
    </xf>
    <xf numFmtId="165" fontId="4" fillId="21" borderId="12" xfId="2" applyNumberFormat="1" applyFont="1" applyFill="1" applyBorder="1" applyAlignment="1">
      <alignment horizontal="center" vertical="top"/>
    </xf>
    <xf numFmtId="0" fontId="4" fillId="0" borderId="76" xfId="0" applyFont="1" applyBorder="1" applyAlignment="1">
      <alignment vertical="top"/>
    </xf>
    <xf numFmtId="0" fontId="0" fillId="0" borderId="4" xfId="0" applyBorder="1" applyAlignment="1">
      <alignment horizontal="center" vertical="top"/>
    </xf>
    <xf numFmtId="0" fontId="0" fillId="0" borderId="13" xfId="0" applyBorder="1" applyAlignment="1">
      <alignment horizontal="left" vertical="top" wrapText="1"/>
    </xf>
    <xf numFmtId="0" fontId="0" fillId="0" borderId="13" xfId="0" applyBorder="1" applyAlignment="1">
      <alignment horizontal="center" vertical="top" wrapText="1"/>
    </xf>
    <xf numFmtId="9" fontId="0" fillId="21" borderId="13" xfId="2" applyFont="1" applyFill="1" applyBorder="1" applyAlignment="1">
      <alignment horizontal="center" vertical="top"/>
    </xf>
    <xf numFmtId="0" fontId="21" fillId="21" borderId="4" xfId="0" applyFont="1" applyFill="1" applyBorder="1" applyAlignment="1">
      <alignment vertical="center" wrapText="1"/>
    </xf>
    <xf numFmtId="0" fontId="21" fillId="21" borderId="13" xfId="0" applyFont="1" applyFill="1" applyBorder="1" applyAlignment="1">
      <alignment vertical="center" wrapText="1"/>
    </xf>
    <xf numFmtId="0" fontId="21" fillId="21" borderId="13" xfId="0" applyFont="1" applyFill="1" applyBorder="1" applyAlignment="1">
      <alignment horizontal="center" vertical="center" wrapText="1"/>
    </xf>
    <xf numFmtId="0" fontId="21" fillId="21" borderId="14" xfId="0" applyFont="1" applyFill="1" applyBorder="1" applyAlignment="1">
      <alignment vertical="center" wrapText="1"/>
    </xf>
    <xf numFmtId="0" fontId="58" fillId="5" borderId="1" xfId="0" applyFont="1" applyFill="1" applyBorder="1" applyAlignment="1">
      <alignment vertical="center" wrapText="1"/>
    </xf>
    <xf numFmtId="0" fontId="58" fillId="5" borderId="2" xfId="0" applyFont="1" applyFill="1" applyBorder="1" applyAlignment="1">
      <alignment vertical="center" wrapText="1"/>
    </xf>
    <xf numFmtId="0" fontId="58" fillId="5" borderId="5" xfId="0" applyFont="1" applyFill="1" applyBorder="1" applyAlignment="1">
      <alignment horizontal="right" vertical="center" wrapText="1"/>
    </xf>
    <xf numFmtId="0" fontId="58" fillId="5" borderId="3" xfId="0" applyFont="1" applyFill="1" applyBorder="1" applyAlignment="1">
      <alignment vertical="center" wrapText="1"/>
    </xf>
    <xf numFmtId="9" fontId="58" fillId="23" borderId="36" xfId="0" applyNumberFormat="1" applyFont="1" applyFill="1" applyBorder="1" applyAlignment="1">
      <alignment horizontal="center" vertical="center" wrapText="1"/>
    </xf>
    <xf numFmtId="0" fontId="58" fillId="5" borderId="0" xfId="0" applyFont="1" applyFill="1" applyAlignment="1">
      <alignment vertical="center" wrapText="1"/>
    </xf>
    <xf numFmtId="0" fontId="58" fillId="5" borderId="0" xfId="0" applyFont="1" applyFill="1" applyAlignment="1">
      <alignment horizontal="right" vertical="center" wrapText="1"/>
    </xf>
    <xf numFmtId="9" fontId="58" fillId="23" borderId="13" xfId="0" applyNumberFormat="1" applyFont="1" applyFill="1" applyBorder="1" applyAlignment="1">
      <alignment horizontal="center" vertical="center" wrapText="1"/>
    </xf>
    <xf numFmtId="0" fontId="58" fillId="5" borderId="77" xfId="0" applyFont="1" applyFill="1" applyBorder="1" applyAlignment="1">
      <alignment horizontal="right" vertical="center" wrapText="1"/>
    </xf>
    <xf numFmtId="9" fontId="58" fillId="5" borderId="77" xfId="0" applyNumberFormat="1" applyFont="1" applyFill="1" applyBorder="1" applyAlignment="1">
      <alignment horizontal="center" vertical="center" wrapText="1"/>
    </xf>
    <xf numFmtId="0" fontId="25" fillId="5" borderId="77" xfId="0" applyFont="1" applyFill="1" applyBorder="1" applyAlignment="1">
      <alignment vertical="center" wrapText="1"/>
    </xf>
    <xf numFmtId="0" fontId="0" fillId="0" borderId="5" xfId="0" applyBorder="1"/>
    <xf numFmtId="0" fontId="58" fillId="5" borderId="1" xfId="0" applyFont="1" applyFill="1" applyBorder="1" applyAlignment="1">
      <alignment horizontal="right" vertical="center" wrapText="1"/>
    </xf>
    <xf numFmtId="0" fontId="58" fillId="5" borderId="36" xfId="0" applyFont="1" applyFill="1" applyBorder="1" applyAlignment="1">
      <alignment vertical="center" wrapText="1"/>
    </xf>
    <xf numFmtId="0" fontId="58" fillId="5" borderId="0" xfId="0" applyFont="1" applyFill="1" applyAlignment="1">
      <alignment horizontal="right" vertical="top" wrapText="1"/>
    </xf>
    <xf numFmtId="9" fontId="58" fillId="23" borderId="5" xfId="2" applyFont="1" applyFill="1" applyBorder="1" applyAlignment="1">
      <alignment horizontal="center" vertical="center" wrapText="1"/>
    </xf>
    <xf numFmtId="0" fontId="3" fillId="0" borderId="0" xfId="0" applyFont="1" applyAlignment="1">
      <alignment wrapText="1"/>
    </xf>
    <xf numFmtId="0" fontId="59" fillId="0" borderId="1" xfId="0" applyFont="1" applyBorder="1" applyAlignment="1">
      <alignment horizontal="center" vertical="center" wrapText="1"/>
    </xf>
    <xf numFmtId="0" fontId="59" fillId="0" borderId="5" xfId="0" applyFont="1" applyBorder="1" applyAlignment="1">
      <alignment horizontal="center" vertical="center" wrapText="1"/>
    </xf>
    <xf numFmtId="0" fontId="59" fillId="0" borderId="2" xfId="0" applyFont="1" applyBorder="1" applyAlignment="1">
      <alignment horizontal="center" vertical="center" wrapText="1"/>
    </xf>
    <xf numFmtId="0" fontId="58" fillId="3" borderId="13" xfId="0" applyFont="1" applyFill="1" applyBorder="1" applyAlignment="1">
      <alignment horizontal="center" vertical="top" wrapText="1"/>
    </xf>
    <xf numFmtId="0" fontId="58" fillId="10" borderId="13" xfId="0" applyFont="1" applyFill="1" applyBorder="1" applyAlignment="1">
      <alignment horizontal="center" vertical="top" wrapText="1"/>
    </xf>
    <xf numFmtId="165" fontId="58" fillId="3" borderId="13" xfId="0" applyNumberFormat="1" applyFont="1" applyFill="1" applyBorder="1" applyAlignment="1">
      <alignment horizontal="center" vertical="top" wrapText="1"/>
    </xf>
    <xf numFmtId="0" fontId="58" fillId="3" borderId="14" xfId="0" applyFont="1" applyFill="1" applyBorder="1" applyAlignment="1">
      <alignment horizontal="center" vertical="top" wrapText="1"/>
    </xf>
    <xf numFmtId="0" fontId="30" fillId="5" borderId="6" xfId="0" applyFont="1" applyFill="1" applyBorder="1" applyAlignment="1">
      <alignment horizontal="left" vertical="top" wrapText="1"/>
    </xf>
    <xf numFmtId="0" fontId="30" fillId="5" borderId="6" xfId="0" applyFont="1" applyFill="1" applyBorder="1" applyAlignment="1">
      <alignment horizontal="center" vertical="top" wrapText="1"/>
    </xf>
    <xf numFmtId="9" fontId="30" fillId="5" borderId="6" xfId="2" applyFont="1" applyFill="1" applyBorder="1" applyAlignment="1">
      <alignment horizontal="center" vertical="top" wrapText="1"/>
    </xf>
    <xf numFmtId="0" fontId="30" fillId="0" borderId="23" xfId="0" applyFont="1" applyBorder="1" applyAlignment="1">
      <alignment horizontal="left" vertical="top" wrapText="1"/>
    </xf>
    <xf numFmtId="0" fontId="28" fillId="5" borderId="6" xfId="0" applyFont="1" applyFill="1" applyBorder="1" applyAlignment="1">
      <alignment horizontal="center" vertical="top" wrapText="1"/>
    </xf>
    <xf numFmtId="0" fontId="30" fillId="5" borderId="6" xfId="1" applyNumberFormat="1" applyFont="1" applyFill="1" applyBorder="1" applyAlignment="1">
      <alignment horizontal="center" vertical="top" wrapText="1"/>
    </xf>
    <xf numFmtId="3" fontId="30" fillId="5" borderId="6" xfId="0" applyNumberFormat="1" applyFont="1" applyFill="1" applyBorder="1" applyAlignment="1">
      <alignment horizontal="center" vertical="top" wrapText="1"/>
    </xf>
    <xf numFmtId="3" fontId="30" fillId="10" borderId="6" xfId="0" applyNumberFormat="1" applyFont="1" applyFill="1" applyBorder="1" applyAlignment="1">
      <alignment horizontal="right" vertical="top" wrapText="1"/>
    </xf>
    <xf numFmtId="3" fontId="30" fillId="5" borderId="6" xfId="0" applyNumberFormat="1" applyFont="1" applyFill="1" applyBorder="1" applyAlignment="1">
      <alignment horizontal="right" vertical="top" wrapText="1"/>
    </xf>
    <xf numFmtId="3" fontId="30" fillId="0" borderId="23" xfId="0" applyNumberFormat="1" applyFont="1" applyBorder="1" applyAlignment="1">
      <alignment horizontal="right" vertical="top" wrapText="1"/>
    </xf>
    <xf numFmtId="3" fontId="30" fillId="0" borderId="6" xfId="0" applyNumberFormat="1" applyFont="1" applyBorder="1" applyAlignment="1">
      <alignment horizontal="right" vertical="top" wrapText="1"/>
    </xf>
    <xf numFmtId="0" fontId="30" fillId="10" borderId="6" xfId="0" applyFont="1" applyFill="1" applyBorder="1" applyAlignment="1">
      <alignment horizontal="center" vertical="top"/>
    </xf>
    <xf numFmtId="0" fontId="30" fillId="0" borderId="23" xfId="0" applyFont="1" applyBorder="1" applyAlignment="1">
      <alignment horizontal="center" vertical="top"/>
    </xf>
    <xf numFmtId="0" fontId="30" fillId="10" borderId="6" xfId="0" applyFont="1" applyFill="1" applyBorder="1" applyAlignment="1">
      <alignment horizontal="center" vertical="top" wrapText="1"/>
    </xf>
    <xf numFmtId="0" fontId="18" fillId="0" borderId="23" xfId="0" applyFont="1" applyBorder="1" applyAlignment="1">
      <alignment horizontal="left" vertical="center" wrapText="1"/>
    </xf>
    <xf numFmtId="1" fontId="30" fillId="10" borderId="6" xfId="0" applyNumberFormat="1" applyFont="1" applyFill="1" applyBorder="1" applyAlignment="1">
      <alignment horizontal="center" vertical="top" wrapText="1"/>
    </xf>
    <xf numFmtId="1" fontId="30" fillId="0" borderId="6" xfId="0" applyNumberFormat="1" applyFont="1" applyBorder="1" applyAlignment="1">
      <alignment horizontal="center" vertical="top" wrapText="1"/>
    </xf>
    <xf numFmtId="9" fontId="30" fillId="0" borderId="23" xfId="0" applyNumberFormat="1" applyFont="1" applyBorder="1" applyAlignment="1">
      <alignment horizontal="center" wrapText="1"/>
    </xf>
    <xf numFmtId="0" fontId="0" fillId="10" borderId="0" xfId="0" applyFill="1" applyAlignment="1">
      <alignment horizontal="center" vertical="top"/>
    </xf>
    <xf numFmtId="9" fontId="30" fillId="0" borderId="23" xfId="0" applyNumberFormat="1" applyFont="1" applyBorder="1" applyAlignment="1">
      <alignment horizontal="center" vertical="center" wrapText="1"/>
    </xf>
    <xf numFmtId="1" fontId="30" fillId="0" borderId="23" xfId="0" applyNumberFormat="1" applyFont="1" applyBorder="1" applyAlignment="1">
      <alignment horizontal="center" wrapText="1"/>
    </xf>
    <xf numFmtId="0" fontId="30" fillId="0" borderId="6" xfId="0" applyFont="1" applyBorder="1" applyAlignment="1">
      <alignment vertical="top" wrapText="1"/>
    </xf>
    <xf numFmtId="9" fontId="30" fillId="0" borderId="6" xfId="0" applyNumberFormat="1" applyFont="1" applyBorder="1" applyAlignment="1">
      <alignment horizontal="center" vertical="top" wrapText="1"/>
    </xf>
    <xf numFmtId="0" fontId="30" fillId="0" borderId="10" xfId="0" applyFont="1" applyBorder="1" applyAlignment="1">
      <alignment vertical="top" wrapText="1"/>
    </xf>
    <xf numFmtId="1" fontId="30" fillId="10" borderId="10" xfId="0" applyNumberFormat="1" applyFont="1" applyFill="1" applyBorder="1" applyAlignment="1">
      <alignment horizontal="center" vertical="top" wrapText="1"/>
    </xf>
    <xf numFmtId="9" fontId="30" fillId="0" borderId="10" xfId="0" applyNumberFormat="1" applyFont="1" applyBorder="1" applyAlignment="1">
      <alignment horizontal="center" vertical="top" wrapText="1"/>
    </xf>
    <xf numFmtId="9" fontId="30" fillId="0" borderId="25" xfId="0" applyNumberFormat="1" applyFont="1" applyBorder="1" applyAlignment="1">
      <alignment horizontal="center" vertical="center" wrapText="1"/>
    </xf>
    <xf numFmtId="0" fontId="30" fillId="4" borderId="4" xfId="0" applyFont="1" applyFill="1" applyBorder="1" applyAlignment="1">
      <alignment horizontal="center" vertical="center" wrapText="1"/>
    </xf>
    <xf numFmtId="0" fontId="30" fillId="4" borderId="13" xfId="0" applyFont="1" applyFill="1" applyBorder="1" applyAlignment="1">
      <alignment horizontal="left" vertical="top" wrapText="1"/>
    </xf>
    <xf numFmtId="0" fontId="18" fillId="4" borderId="13" xfId="0" applyFont="1" applyFill="1" applyBorder="1" applyAlignment="1">
      <alignment vertical="center" wrapText="1"/>
    </xf>
    <xf numFmtId="0" fontId="18" fillId="4" borderId="13" xfId="0" applyFont="1" applyFill="1" applyBorder="1" applyAlignment="1">
      <alignment horizontal="center" vertical="center" wrapText="1"/>
    </xf>
    <xf numFmtId="1" fontId="30" fillId="4" borderId="13" xfId="0" applyNumberFormat="1" applyFont="1" applyFill="1" applyBorder="1" applyAlignment="1">
      <alignment horizontal="center" vertical="center" wrapText="1"/>
    </xf>
    <xf numFmtId="9" fontId="30" fillId="4" borderId="13" xfId="0" applyNumberFormat="1" applyFont="1" applyFill="1" applyBorder="1" applyAlignment="1">
      <alignment horizontal="center" vertical="center" wrapText="1"/>
    </xf>
    <xf numFmtId="9" fontId="18" fillId="4" borderId="13" xfId="2" applyFont="1" applyFill="1" applyBorder="1" applyAlignment="1">
      <alignment horizontal="center" vertical="top" wrapText="1"/>
    </xf>
    <xf numFmtId="0" fontId="28" fillId="0" borderId="23" xfId="0" applyFont="1" applyBorder="1" applyAlignment="1">
      <alignment vertical="top" wrapText="1"/>
    </xf>
    <xf numFmtId="0" fontId="28" fillId="0" borderId="23" xfId="0" applyFont="1" applyBorder="1" applyAlignment="1">
      <alignment vertical="top"/>
    </xf>
    <xf numFmtId="0" fontId="30" fillId="5" borderId="17" xfId="0" applyFont="1" applyFill="1" applyBorder="1" applyAlignment="1">
      <alignment horizontal="center" vertical="top" wrapText="1"/>
    </xf>
    <xf numFmtId="0" fontId="30" fillId="5" borderId="6" xfId="0" applyFont="1" applyFill="1" applyBorder="1" applyAlignment="1">
      <alignment horizontal="left" vertical="center" wrapText="1"/>
    </xf>
    <xf numFmtId="0" fontId="30" fillId="0" borderId="6" xfId="0" applyFont="1" applyBorder="1" applyAlignment="1">
      <alignment wrapText="1"/>
    </xf>
    <xf numFmtId="0" fontId="30" fillId="4" borderId="83" xfId="0" applyFont="1" applyFill="1" applyBorder="1" applyAlignment="1">
      <alignment horizontal="center" vertical="center" wrapText="1"/>
    </xf>
    <xf numFmtId="0" fontId="30" fillId="4" borderId="29" xfId="0" applyFont="1" applyFill="1" applyBorder="1" applyAlignment="1">
      <alignment horizontal="left" vertical="center" wrapText="1"/>
    </xf>
    <xf numFmtId="0" fontId="18" fillId="4" borderId="29" xfId="0" applyFont="1" applyFill="1" applyBorder="1" applyAlignment="1">
      <alignment horizontal="right" vertical="center" wrapText="1"/>
    </xf>
    <xf numFmtId="0" fontId="30" fillId="4" borderId="29" xfId="0" applyFont="1" applyFill="1" applyBorder="1" applyAlignment="1">
      <alignment horizontal="center" wrapText="1"/>
    </xf>
    <xf numFmtId="0" fontId="30" fillId="4" borderId="29" xfId="0" applyFont="1" applyFill="1" applyBorder="1" applyAlignment="1">
      <alignment horizontal="center" vertical="top"/>
    </xf>
    <xf numFmtId="9" fontId="18" fillId="4" borderId="29" xfId="2" applyFont="1" applyFill="1" applyBorder="1" applyAlignment="1">
      <alignment horizontal="center" vertical="top" wrapText="1"/>
    </xf>
    <xf numFmtId="0" fontId="17" fillId="0" borderId="6" xfId="0" applyFont="1" applyBorder="1" applyAlignment="1">
      <alignment horizontal="left" vertical="center" wrapText="1"/>
    </xf>
    <xf numFmtId="0" fontId="17" fillId="0" borderId="6" xfId="0" applyFont="1" applyBorder="1" applyAlignment="1">
      <alignment horizontal="center" vertical="center" wrapText="1"/>
    </xf>
    <xf numFmtId="0" fontId="28" fillId="5" borderId="23" xfId="0" applyFont="1" applyFill="1" applyBorder="1" applyAlignment="1">
      <alignment horizontal="left" vertical="top" wrapText="1"/>
    </xf>
    <xf numFmtId="0" fontId="30" fillId="5" borderId="23" xfId="0" applyFont="1" applyFill="1" applyBorder="1" applyAlignment="1">
      <alignment horizontal="center" vertical="top" wrapText="1"/>
    </xf>
    <xf numFmtId="0" fontId="17" fillId="0" borderId="6" xfId="0" applyFont="1" applyBorder="1" applyAlignment="1">
      <alignment horizontal="center" vertical="top" wrapText="1"/>
    </xf>
    <xf numFmtId="0" fontId="17" fillId="0" borderId="10" xfId="0" applyFont="1" applyBorder="1" applyAlignment="1">
      <alignment horizontal="left" vertical="center" wrapText="1"/>
    </xf>
    <xf numFmtId="0" fontId="17" fillId="0" borderId="10" xfId="0" applyFont="1" applyBorder="1" applyAlignment="1">
      <alignment horizontal="center" vertical="top" wrapText="1"/>
    </xf>
    <xf numFmtId="0" fontId="30" fillId="10" borderId="10" xfId="1" applyNumberFormat="1" applyFont="1" applyFill="1" applyBorder="1" applyAlignment="1">
      <alignment horizontal="center" vertical="top" wrapText="1"/>
    </xf>
    <xf numFmtId="0" fontId="30" fillId="5" borderId="10" xfId="0" applyFont="1" applyFill="1" applyBorder="1" applyAlignment="1">
      <alignment horizontal="center" vertical="top" wrapText="1"/>
    </xf>
    <xf numFmtId="9" fontId="30" fillId="0" borderId="10" xfId="2" applyFont="1" applyBorder="1" applyAlignment="1">
      <alignment horizontal="center" vertical="top" wrapText="1"/>
    </xf>
    <xf numFmtId="0" fontId="30" fillId="5" borderId="25" xfId="0" applyFont="1" applyFill="1" applyBorder="1" applyAlignment="1">
      <alignment horizontal="center" vertical="top" wrapText="1"/>
    </xf>
    <xf numFmtId="0" fontId="0" fillId="4" borderId="5" xfId="0" applyFill="1" applyBorder="1" applyAlignment="1">
      <alignment horizontal="center"/>
    </xf>
    <xf numFmtId="0" fontId="4" fillId="4" borderId="2" xfId="0" applyFont="1" applyFill="1" applyBorder="1"/>
    <xf numFmtId="0" fontId="4" fillId="4" borderId="2" xfId="0" applyFont="1" applyFill="1" applyBorder="1" applyAlignment="1">
      <alignment horizontal="right"/>
    </xf>
    <xf numFmtId="0" fontId="0" fillId="4" borderId="2" xfId="0" applyFill="1" applyBorder="1" applyAlignment="1">
      <alignment vertical="center"/>
    </xf>
    <xf numFmtId="165" fontId="4" fillId="4" borderId="5" xfId="2" applyNumberFormat="1" applyFont="1" applyFill="1" applyBorder="1" applyAlignment="1">
      <alignment vertical="center"/>
    </xf>
    <xf numFmtId="9" fontId="4" fillId="4" borderId="5" xfId="2" applyFont="1" applyFill="1" applyBorder="1" applyAlignment="1">
      <alignment horizontal="center" vertical="center"/>
    </xf>
    <xf numFmtId="0" fontId="59" fillId="6" borderId="84" xfId="0" applyFont="1" applyFill="1" applyBorder="1" applyAlignment="1">
      <alignment horizontal="center" vertical="center" wrapText="1"/>
    </xf>
    <xf numFmtId="0" fontId="59" fillId="6" borderId="5" xfId="0" applyFont="1" applyFill="1" applyBorder="1" applyAlignment="1">
      <alignment horizontal="center" vertical="center" wrapText="1"/>
    </xf>
    <xf numFmtId="0" fontId="59" fillId="6" borderId="2" xfId="0" applyFont="1" applyFill="1" applyBorder="1" applyAlignment="1">
      <alignment horizontal="center" vertical="center" wrapText="1"/>
    </xf>
    <xf numFmtId="41" fontId="59" fillId="6" borderId="5" xfId="0" applyNumberFormat="1" applyFont="1" applyFill="1" applyBorder="1" applyAlignment="1">
      <alignment horizontal="center" vertical="center" wrapText="1"/>
    </xf>
    <xf numFmtId="41" fontId="59" fillId="6" borderId="2" xfId="0" applyNumberFormat="1" applyFont="1" applyFill="1" applyBorder="1" applyAlignment="1">
      <alignment horizontal="center" vertical="center" wrapText="1"/>
    </xf>
    <xf numFmtId="0" fontId="63" fillId="5" borderId="8" xfId="0" applyFont="1" applyFill="1" applyBorder="1" applyAlignment="1">
      <alignment horizontal="left" vertical="top" wrapText="1"/>
    </xf>
    <xf numFmtId="1" fontId="61" fillId="5" borderId="8" xfId="0" applyNumberFormat="1" applyFont="1" applyFill="1" applyBorder="1" applyAlignment="1">
      <alignment horizontal="center" vertical="top" wrapText="1"/>
    </xf>
    <xf numFmtId="0" fontId="63" fillId="5" borderId="8" xfId="0" applyFont="1" applyFill="1" applyBorder="1" applyAlignment="1">
      <alignment horizontal="center" vertical="top" wrapText="1"/>
    </xf>
    <xf numFmtId="3" fontId="61" fillId="5" borderId="8" xfId="0" applyNumberFormat="1" applyFont="1" applyFill="1" applyBorder="1" applyAlignment="1">
      <alignment horizontal="center" vertical="top" wrapText="1"/>
    </xf>
    <xf numFmtId="9" fontId="61" fillId="5" borderId="8" xfId="2" applyFont="1" applyFill="1" applyBorder="1" applyAlignment="1">
      <alignment horizontal="center" vertical="top"/>
    </xf>
    <xf numFmtId="0" fontId="61" fillId="5" borderId="8" xfId="0" applyFont="1" applyFill="1" applyBorder="1" applyAlignment="1">
      <alignment horizontal="center" vertical="top" wrapText="1"/>
    </xf>
    <xf numFmtId="0" fontId="61" fillId="5" borderId="8" xfId="0" applyFont="1" applyFill="1" applyBorder="1" applyAlignment="1">
      <alignment horizontal="left" vertical="top" wrapText="1"/>
    </xf>
    <xf numFmtId="0" fontId="63" fillId="5" borderId="6" xfId="0" applyFont="1" applyFill="1" applyBorder="1" applyAlignment="1">
      <alignment horizontal="left" vertical="top" wrapText="1"/>
    </xf>
    <xf numFmtId="0" fontId="63" fillId="5" borderId="6" xfId="0" applyFont="1" applyFill="1" applyBorder="1" applyAlignment="1">
      <alignment horizontal="center" vertical="top" wrapText="1"/>
    </xf>
    <xf numFmtId="0" fontId="61" fillId="5" borderId="6" xfId="0" applyFont="1" applyFill="1" applyBorder="1" applyAlignment="1">
      <alignment horizontal="center" vertical="top" wrapText="1"/>
    </xf>
    <xf numFmtId="0" fontId="61" fillId="5" borderId="6" xfId="0" applyFont="1" applyFill="1" applyBorder="1" applyAlignment="1">
      <alignment horizontal="left" vertical="top" wrapText="1"/>
    </xf>
    <xf numFmtId="3" fontId="61" fillId="5" borderId="6" xfId="0" applyNumberFormat="1" applyFont="1" applyFill="1" applyBorder="1" applyAlignment="1">
      <alignment horizontal="center" vertical="top" wrapText="1"/>
    </xf>
    <xf numFmtId="9" fontId="61" fillId="5" borderId="6" xfId="2" applyFont="1" applyFill="1" applyBorder="1" applyAlignment="1">
      <alignment horizontal="left" vertical="top" wrapText="1"/>
    </xf>
    <xf numFmtId="9" fontId="61" fillId="5" borderId="6" xfId="2" applyFont="1" applyFill="1" applyBorder="1" applyAlignment="1">
      <alignment horizontal="center" vertical="top"/>
    </xf>
    <xf numFmtId="0" fontId="61" fillId="6" borderId="6" xfId="0" applyFont="1" applyFill="1" applyBorder="1" applyAlignment="1">
      <alignment horizontal="center"/>
    </xf>
    <xf numFmtId="0" fontId="61" fillId="6" borderId="6" xfId="0" applyFont="1" applyFill="1" applyBorder="1"/>
    <xf numFmtId="41" fontId="65" fillId="6" borderId="6" xfId="0" applyNumberFormat="1" applyFont="1" applyFill="1" applyBorder="1"/>
    <xf numFmtId="41" fontId="65" fillId="6" borderId="6" xfId="0" applyNumberFormat="1" applyFont="1" applyFill="1" applyBorder="1" applyAlignment="1">
      <alignment horizontal="right"/>
    </xf>
    <xf numFmtId="165" fontId="65" fillId="6" borderId="6" xfId="2" applyNumberFormat="1" applyFont="1" applyFill="1" applyBorder="1" applyAlignment="1">
      <alignment horizontal="center" vertical="center"/>
    </xf>
    <xf numFmtId="0" fontId="59" fillId="6" borderId="1" xfId="0" applyFont="1" applyFill="1" applyBorder="1" applyAlignment="1">
      <alignment horizontal="center" vertical="center" wrapText="1"/>
    </xf>
    <xf numFmtId="0" fontId="66" fillId="5" borderId="8" xfId="0" applyFont="1" applyFill="1" applyBorder="1" applyAlignment="1">
      <alignment horizontal="left" vertical="top" wrapText="1"/>
    </xf>
    <xf numFmtId="167" fontId="61" fillId="5" borderId="8" xfId="1" applyNumberFormat="1" applyFont="1" applyFill="1" applyBorder="1" applyAlignment="1">
      <alignment horizontal="center" vertical="top" wrapText="1"/>
    </xf>
    <xf numFmtId="165" fontId="61" fillId="5" borderId="8" xfId="2" applyNumberFormat="1" applyFont="1" applyFill="1" applyBorder="1" applyAlignment="1">
      <alignment horizontal="center" vertical="top"/>
    </xf>
    <xf numFmtId="0" fontId="61" fillId="5" borderId="8" xfId="0" applyFont="1" applyFill="1" applyBorder="1" applyAlignment="1">
      <alignment horizontal="left" vertical="center" wrapText="1"/>
    </xf>
    <xf numFmtId="167" fontId="67" fillId="5" borderId="8" xfId="1" applyNumberFormat="1" applyFont="1" applyFill="1" applyBorder="1" applyAlignment="1">
      <alignment horizontal="center" vertical="top" wrapText="1"/>
    </xf>
    <xf numFmtId="165" fontId="67" fillId="5" borderId="8" xfId="2" applyNumberFormat="1" applyFont="1" applyFill="1" applyBorder="1" applyAlignment="1">
      <alignment horizontal="center" vertical="top"/>
    </xf>
    <xf numFmtId="0" fontId="67" fillId="5" borderId="8" xfId="0" applyFont="1" applyFill="1" applyBorder="1" applyAlignment="1">
      <alignment horizontal="left" vertical="top" wrapText="1"/>
    </xf>
    <xf numFmtId="41" fontId="61" fillId="6" borderId="6" xfId="0" applyNumberFormat="1" applyFont="1" applyFill="1" applyBorder="1"/>
    <xf numFmtId="41" fontId="61" fillId="6" borderId="6" xfId="0" applyNumberFormat="1" applyFont="1" applyFill="1" applyBorder="1" applyAlignment="1">
      <alignment horizontal="right"/>
    </xf>
    <xf numFmtId="165" fontId="61" fillId="6" borderId="6" xfId="2" applyNumberFormat="1" applyFont="1" applyFill="1" applyBorder="1" applyAlignment="1">
      <alignment horizontal="center" vertical="center"/>
    </xf>
    <xf numFmtId="0" fontId="61" fillId="5" borderId="19" xfId="0" applyFont="1" applyFill="1" applyBorder="1" applyAlignment="1">
      <alignment horizontal="center" vertical="top" wrapText="1"/>
    </xf>
    <xf numFmtId="0" fontId="68" fillId="5" borderId="20" xfId="0" applyFont="1" applyFill="1" applyBorder="1" applyAlignment="1">
      <alignment horizontal="justify" vertical="center" wrapText="1"/>
    </xf>
    <xf numFmtId="0" fontId="68" fillId="5" borderId="20" xfId="0" applyFont="1" applyFill="1" applyBorder="1" applyAlignment="1">
      <alignment vertical="center" wrapText="1"/>
    </xf>
    <xf numFmtId="1" fontId="61" fillId="5" borderId="20" xfId="0" applyNumberFormat="1" applyFont="1" applyFill="1" applyBorder="1" applyAlignment="1">
      <alignment horizontal="center" vertical="top" wrapText="1"/>
    </xf>
    <xf numFmtId="0" fontId="68" fillId="5" borderId="20" xfId="0" applyFont="1" applyFill="1" applyBorder="1" applyAlignment="1">
      <alignment horizontal="center" vertical="top" wrapText="1"/>
    </xf>
    <xf numFmtId="165" fontId="61" fillId="5" borderId="20" xfId="2" applyNumberFormat="1" applyFont="1" applyFill="1" applyBorder="1" applyAlignment="1">
      <alignment horizontal="center" vertical="top"/>
    </xf>
    <xf numFmtId="0" fontId="67" fillId="5" borderId="21" xfId="0" applyFont="1" applyFill="1" applyBorder="1" applyAlignment="1">
      <alignment horizontal="left" vertical="center" wrapText="1"/>
    </xf>
    <xf numFmtId="0" fontId="68" fillId="5" borderId="6" xfId="0" applyFont="1" applyFill="1" applyBorder="1" applyAlignment="1">
      <alignment vertical="top" wrapText="1"/>
    </xf>
    <xf numFmtId="1" fontId="61" fillId="5" borderId="6" xfId="0" applyNumberFormat="1" applyFont="1" applyFill="1" applyBorder="1" applyAlignment="1">
      <alignment horizontal="center" vertical="top" wrapText="1"/>
    </xf>
    <xf numFmtId="0" fontId="68" fillId="5" borderId="6" xfId="0" applyFont="1" applyFill="1" applyBorder="1" applyAlignment="1">
      <alignment horizontal="center" vertical="top" wrapText="1"/>
    </xf>
    <xf numFmtId="0" fontId="67" fillId="5" borderId="6" xfId="0" applyFont="1" applyFill="1" applyBorder="1" applyAlignment="1">
      <alignment horizontal="center" vertical="top" wrapText="1"/>
    </xf>
    <xf numFmtId="165" fontId="61" fillId="5" borderId="6" xfId="2" applyNumberFormat="1" applyFont="1" applyFill="1" applyBorder="1" applyAlignment="1">
      <alignment horizontal="center" vertical="top"/>
    </xf>
    <xf numFmtId="0" fontId="61" fillId="5" borderId="23" xfId="0" applyFont="1" applyFill="1" applyBorder="1" applyAlignment="1">
      <alignment horizontal="left" vertical="top" wrapText="1"/>
    </xf>
    <xf numFmtId="0" fontId="68" fillId="5" borderId="10" xfId="0" applyFont="1" applyFill="1" applyBorder="1" applyAlignment="1">
      <alignment vertical="top" wrapText="1"/>
    </xf>
    <xf numFmtId="1" fontId="61" fillId="5" borderId="10" xfId="0" applyNumberFormat="1" applyFont="1" applyFill="1" applyBorder="1" applyAlignment="1">
      <alignment horizontal="center" vertical="top" wrapText="1"/>
    </xf>
    <xf numFmtId="0" fontId="68" fillId="5" borderId="10" xfId="0" applyFont="1" applyFill="1" applyBorder="1" applyAlignment="1">
      <alignment horizontal="center" vertical="top" wrapText="1"/>
    </xf>
    <xf numFmtId="165" fontId="61" fillId="5" borderId="10" xfId="2" applyNumberFormat="1" applyFont="1" applyFill="1" applyBorder="1" applyAlignment="1">
      <alignment horizontal="center" vertical="top"/>
    </xf>
    <xf numFmtId="0" fontId="61" fillId="5" borderId="50" xfId="0" applyFont="1" applyFill="1" applyBorder="1" applyAlignment="1">
      <alignment horizontal="left" vertical="top" wrapText="1"/>
    </xf>
    <xf numFmtId="0" fontId="61" fillId="5" borderId="19" xfId="0" applyFont="1" applyFill="1" applyBorder="1" applyAlignment="1">
      <alignment horizontal="center" vertical="center" wrapText="1"/>
    </xf>
    <xf numFmtId="0" fontId="66" fillId="5" borderId="20" xfId="0" applyFont="1" applyFill="1" applyBorder="1" applyAlignment="1">
      <alignment horizontal="left" vertical="center" wrapText="1"/>
    </xf>
    <xf numFmtId="0" fontId="66" fillId="5" borderId="20" xfId="0" applyFont="1" applyFill="1" applyBorder="1" applyAlignment="1">
      <alignment horizontal="center" vertical="top" wrapText="1"/>
    </xf>
    <xf numFmtId="0" fontId="61" fillId="5" borderId="21" xfId="0" applyFont="1" applyFill="1" applyBorder="1" applyAlignment="1">
      <alignment horizontal="left" vertical="top" wrapText="1"/>
    </xf>
    <xf numFmtId="0" fontId="63" fillId="5" borderId="8" xfId="0" applyFont="1" applyFill="1" applyBorder="1" applyAlignment="1">
      <alignment vertical="top" wrapText="1"/>
    </xf>
    <xf numFmtId="3" fontId="63" fillId="5" borderId="85" xfId="0" applyNumberFormat="1" applyFont="1" applyFill="1" applyBorder="1" applyAlignment="1">
      <alignment horizontal="center" vertical="top" wrapText="1"/>
    </xf>
    <xf numFmtId="9" fontId="61" fillId="5" borderId="8" xfId="2" applyFont="1" applyFill="1" applyBorder="1" applyAlignment="1">
      <alignment horizontal="center" vertical="top" wrapText="1"/>
    </xf>
    <xf numFmtId="0" fontId="67" fillId="5" borderId="8" xfId="0" applyFont="1" applyFill="1" applyBorder="1" applyAlignment="1">
      <alignment vertical="top" wrapText="1"/>
    </xf>
    <xf numFmtId="3" fontId="63" fillId="5" borderId="6" xfId="0" applyNumberFormat="1" applyFont="1" applyFill="1" applyBorder="1" applyAlignment="1">
      <alignment horizontal="center" vertical="top" wrapText="1"/>
    </xf>
    <xf numFmtId="3" fontId="61" fillId="12" borderId="6" xfId="0" applyNumberFormat="1" applyFont="1" applyFill="1" applyBorder="1" applyAlignment="1">
      <alignment horizontal="center" vertical="top" wrapText="1"/>
    </xf>
    <xf numFmtId="9" fontId="61" fillId="12" borderId="6" xfId="2" applyFont="1" applyFill="1" applyBorder="1" applyAlignment="1">
      <alignment horizontal="center" vertical="top" wrapText="1"/>
    </xf>
    <xf numFmtId="3" fontId="63" fillId="5" borderId="10" xfId="0" applyNumberFormat="1" applyFont="1" applyFill="1" applyBorder="1" applyAlignment="1">
      <alignment horizontal="center" vertical="top" wrapText="1"/>
    </xf>
    <xf numFmtId="0" fontId="63" fillId="5" borderId="20" xfId="0" applyFont="1" applyFill="1" applyBorder="1" applyAlignment="1">
      <alignment vertical="top" wrapText="1"/>
    </xf>
    <xf numFmtId="3" fontId="63" fillId="5" borderId="8" xfId="0" applyNumberFormat="1" applyFont="1" applyFill="1" applyBorder="1" applyAlignment="1">
      <alignment horizontal="center" vertical="top" wrapText="1"/>
    </xf>
    <xf numFmtId="3" fontId="61" fillId="12" borderId="8" xfId="0" applyNumberFormat="1" applyFont="1" applyFill="1" applyBorder="1" applyAlignment="1">
      <alignment horizontal="center" vertical="top" wrapText="1"/>
    </xf>
    <xf numFmtId="0" fontId="63" fillId="5" borderId="10" xfId="0" applyFont="1" applyFill="1" applyBorder="1" applyAlignment="1">
      <alignment vertical="top" wrapText="1"/>
    </xf>
    <xf numFmtId="1" fontId="61" fillId="5" borderId="12" xfId="0" applyNumberFormat="1" applyFont="1" applyFill="1" applyBorder="1" applyAlignment="1">
      <alignment horizontal="center" vertical="top" wrapText="1"/>
    </xf>
    <xf numFmtId="3" fontId="63" fillId="5" borderId="12" xfId="0" applyNumberFormat="1" applyFont="1" applyFill="1" applyBorder="1" applyAlignment="1">
      <alignment horizontal="center" vertical="top" wrapText="1"/>
    </xf>
    <xf numFmtId="3" fontId="63" fillId="12" borderId="12" xfId="0" applyNumberFormat="1" applyFont="1" applyFill="1" applyBorder="1" applyAlignment="1">
      <alignment horizontal="center" vertical="top" wrapText="1"/>
    </xf>
    <xf numFmtId="9" fontId="61" fillId="12" borderId="10" xfId="2" applyFont="1" applyFill="1" applyBorder="1" applyAlignment="1">
      <alignment horizontal="center" vertical="top" wrapText="1"/>
    </xf>
    <xf numFmtId="0" fontId="61" fillId="5" borderId="10" xfId="0" applyFont="1" applyFill="1" applyBorder="1" applyAlignment="1">
      <alignment vertical="top" wrapText="1"/>
    </xf>
    <xf numFmtId="0" fontId="61" fillId="6" borderId="4" xfId="0" applyFont="1" applyFill="1" applyBorder="1" applyAlignment="1">
      <alignment horizontal="center"/>
    </xf>
    <xf numFmtId="0" fontId="61" fillId="6" borderId="13" xfId="0" applyFont="1" applyFill="1" applyBorder="1"/>
    <xf numFmtId="0" fontId="61" fillId="6" borderId="37" xfId="0" applyFont="1" applyFill="1" applyBorder="1"/>
    <xf numFmtId="41" fontId="65" fillId="6" borderId="4" xfId="0" applyNumberFormat="1" applyFont="1" applyFill="1" applyBorder="1"/>
    <xf numFmtId="41" fontId="65" fillId="6" borderId="13" xfId="0" applyNumberFormat="1" applyFont="1" applyFill="1" applyBorder="1"/>
    <xf numFmtId="41" fontId="65" fillId="6" borderId="13" xfId="0" applyNumberFormat="1" applyFont="1" applyFill="1" applyBorder="1" applyAlignment="1">
      <alignment horizontal="right"/>
    </xf>
    <xf numFmtId="165" fontId="65" fillId="6" borderId="14" xfId="2" applyNumberFormat="1" applyFont="1" applyFill="1" applyBorder="1" applyAlignment="1">
      <alignment horizontal="center" vertical="center"/>
    </xf>
    <xf numFmtId="0" fontId="70" fillId="5" borderId="8" xfId="0" applyFont="1" applyFill="1" applyBorder="1" applyAlignment="1">
      <alignment horizontal="left" vertical="top" wrapText="1"/>
    </xf>
    <xf numFmtId="1" fontId="70" fillId="5" borderId="8" xfId="0" applyNumberFormat="1" applyFont="1" applyFill="1" applyBorder="1" applyAlignment="1">
      <alignment horizontal="center" vertical="top" wrapText="1"/>
    </xf>
    <xf numFmtId="165" fontId="70" fillId="5" borderId="8" xfId="2" applyNumberFormat="1" applyFont="1" applyFill="1" applyBorder="1" applyAlignment="1">
      <alignment horizontal="center" vertical="top" wrapText="1"/>
    </xf>
    <xf numFmtId="0" fontId="70" fillId="5" borderId="50" xfId="0" applyFont="1" applyFill="1" applyBorder="1" applyAlignment="1">
      <alignment horizontal="left" vertical="center" wrapText="1"/>
    </xf>
    <xf numFmtId="0" fontId="70" fillId="5" borderId="6" xfId="0" applyFont="1" applyFill="1" applyBorder="1" applyAlignment="1">
      <alignment horizontal="left" vertical="top" wrapText="1"/>
    </xf>
    <xf numFmtId="1" fontId="70" fillId="5" borderId="6" xfId="0" applyNumberFormat="1" applyFont="1" applyFill="1" applyBorder="1" applyAlignment="1">
      <alignment horizontal="center" vertical="top" wrapText="1"/>
    </xf>
    <xf numFmtId="9" fontId="70" fillId="5" borderId="6" xfId="2" applyFont="1" applyFill="1" applyBorder="1" applyAlignment="1">
      <alignment horizontal="center" vertical="top" wrapText="1"/>
    </xf>
    <xf numFmtId="165" fontId="70" fillId="5" borderId="6" xfId="2" applyNumberFormat="1" applyFont="1" applyFill="1" applyBorder="1" applyAlignment="1">
      <alignment horizontal="center" vertical="top" wrapText="1"/>
    </xf>
    <xf numFmtId="0" fontId="70" fillId="5" borderId="15" xfId="0" applyFont="1" applyFill="1" applyBorder="1" applyAlignment="1">
      <alignment horizontal="left" vertical="center" wrapText="1"/>
    </xf>
    <xf numFmtId="10" fontId="70" fillId="25" borderId="6" xfId="2" applyNumberFormat="1" applyFont="1" applyFill="1" applyBorder="1" applyAlignment="1">
      <alignment horizontal="center" vertical="top" wrapText="1"/>
    </xf>
    <xf numFmtId="10" fontId="70" fillId="5" borderId="6" xfId="2" applyNumberFormat="1" applyFont="1" applyFill="1" applyBorder="1" applyAlignment="1">
      <alignment horizontal="center" vertical="top" wrapText="1"/>
    </xf>
    <xf numFmtId="0" fontId="70" fillId="5" borderId="50" xfId="0" applyFont="1" applyFill="1" applyBorder="1" applyAlignment="1">
      <alignment horizontal="left" vertical="top" wrapText="1"/>
    </xf>
    <xf numFmtId="0" fontId="61" fillId="6" borderId="28" xfId="0" applyFont="1" applyFill="1" applyBorder="1" applyAlignment="1">
      <alignment horizontal="center"/>
    </xf>
    <xf numFmtId="0" fontId="61" fillId="6" borderId="11" xfId="0" applyFont="1" applyFill="1" applyBorder="1"/>
    <xf numFmtId="0" fontId="61" fillId="6" borderId="86" xfId="0" applyFont="1" applyFill="1" applyBorder="1"/>
    <xf numFmtId="41" fontId="65" fillId="6" borderId="28" xfId="0" applyNumberFormat="1" applyFont="1" applyFill="1" applyBorder="1"/>
    <xf numFmtId="41" fontId="65" fillId="6" borderId="11" xfId="0" applyNumberFormat="1" applyFont="1" applyFill="1" applyBorder="1"/>
    <xf numFmtId="41" fontId="65" fillId="6" borderId="11" xfId="0" applyNumberFormat="1" applyFont="1" applyFill="1" applyBorder="1" applyAlignment="1">
      <alignment horizontal="right"/>
    </xf>
    <xf numFmtId="165" fontId="65" fillId="6" borderId="75" xfId="2" applyNumberFormat="1" applyFont="1" applyFill="1" applyBorder="1" applyAlignment="1">
      <alignment horizontal="center" vertical="center"/>
    </xf>
    <xf numFmtId="0" fontId="63" fillId="5" borderId="6" xfId="0" applyFont="1" applyFill="1" applyBorder="1" applyAlignment="1">
      <alignment vertical="top" wrapText="1"/>
    </xf>
    <xf numFmtId="0" fontId="61" fillId="5" borderId="6" xfId="0" applyFont="1" applyFill="1" applyBorder="1" applyAlignment="1">
      <alignment horizontal="left" vertical="center" wrapText="1"/>
    </xf>
    <xf numFmtId="0" fontId="64" fillId="5" borderId="8" xfId="0" applyFont="1" applyFill="1" applyBorder="1" applyAlignment="1">
      <alignment horizontal="center" vertical="top" wrapText="1"/>
    </xf>
    <xf numFmtId="3" fontId="63" fillId="12" borderId="8" xfId="0" applyNumberFormat="1" applyFont="1" applyFill="1" applyBorder="1" applyAlignment="1">
      <alignment horizontal="center" vertical="top" wrapText="1"/>
    </xf>
    <xf numFmtId="0" fontId="63" fillId="5" borderId="80" xfId="0" applyFont="1" applyFill="1" applyBorder="1" applyAlignment="1">
      <alignment vertical="top" wrapText="1"/>
    </xf>
    <xf numFmtId="3" fontId="67" fillId="5" borderId="6" xfId="0" applyNumberFormat="1" applyFont="1" applyFill="1" applyBorder="1" applyAlignment="1">
      <alignment horizontal="center" vertical="top" wrapText="1"/>
    </xf>
    <xf numFmtId="3" fontId="67" fillId="5" borderId="8" xfId="0" applyNumberFormat="1" applyFont="1" applyFill="1" applyBorder="1" applyAlignment="1">
      <alignment horizontal="center" vertical="top" wrapText="1"/>
    </xf>
    <xf numFmtId="9" fontId="67" fillId="5" borderId="6" xfId="2" applyFont="1" applyFill="1" applyBorder="1" applyAlignment="1">
      <alignment horizontal="center" vertical="top"/>
    </xf>
    <xf numFmtId="0" fontId="67" fillId="5" borderId="6" xfId="0" applyFont="1" applyFill="1" applyBorder="1" applyAlignment="1">
      <alignment horizontal="left" vertical="top" wrapText="1"/>
    </xf>
    <xf numFmtId="3" fontId="67" fillId="12" borderId="8" xfId="0" applyNumberFormat="1" applyFont="1" applyFill="1" applyBorder="1" applyAlignment="1">
      <alignment horizontal="center" vertical="top" wrapText="1"/>
    </xf>
    <xf numFmtId="1" fontId="63" fillId="5" borderId="6" xfId="1" applyNumberFormat="1" applyFont="1" applyFill="1" applyBorder="1" applyAlignment="1">
      <alignment horizontal="center" vertical="top" wrapText="1"/>
    </xf>
    <xf numFmtId="0" fontId="61" fillId="5" borderId="6" xfId="1" applyNumberFormat="1" applyFont="1" applyFill="1" applyBorder="1" applyAlignment="1">
      <alignment horizontal="center" vertical="top" wrapText="1"/>
    </xf>
    <xf numFmtId="0" fontId="67" fillId="5" borderId="6" xfId="1" applyNumberFormat="1" applyFont="1" applyFill="1" applyBorder="1" applyAlignment="1">
      <alignment horizontal="center" vertical="top" wrapText="1"/>
    </xf>
    <xf numFmtId="0" fontId="63" fillId="5" borderId="18" xfId="0" applyFont="1" applyFill="1" applyBorder="1" applyAlignment="1">
      <alignment vertical="top" wrapText="1"/>
    </xf>
    <xf numFmtId="0" fontId="63" fillId="5" borderId="76" xfId="0" applyFont="1" applyFill="1" applyBorder="1" applyAlignment="1">
      <alignment vertical="top" wrapText="1"/>
    </xf>
    <xf numFmtId="3" fontId="67" fillId="12" borderId="6" xfId="1" applyNumberFormat="1" applyFont="1" applyFill="1" applyBorder="1" applyAlignment="1">
      <alignment horizontal="center" vertical="top" wrapText="1"/>
    </xf>
    <xf numFmtId="0" fontId="67" fillId="5" borderId="6" xfId="0" applyFont="1" applyFill="1" applyBorder="1" applyAlignment="1">
      <alignment horizontal="left" vertical="center" wrapText="1"/>
    </xf>
    <xf numFmtId="1" fontId="61" fillId="5" borderId="7" xfId="0" applyNumberFormat="1" applyFont="1" applyFill="1" applyBorder="1" applyAlignment="1">
      <alignment horizontal="center" vertical="top" wrapText="1"/>
    </xf>
    <xf numFmtId="0" fontId="63" fillId="5" borderId="6" xfId="0" applyFont="1" applyFill="1" applyBorder="1" applyAlignment="1">
      <alignment horizontal="left" vertical="center" wrapText="1"/>
    </xf>
    <xf numFmtId="0" fontId="68" fillId="5" borderId="8" xfId="0" applyFont="1" applyFill="1" applyBorder="1" applyAlignment="1">
      <alignment horizontal="left" vertical="top" wrapText="1"/>
    </xf>
    <xf numFmtId="1" fontId="67" fillId="5" borderId="6" xfId="0" applyNumberFormat="1" applyFont="1" applyFill="1" applyBorder="1" applyAlignment="1">
      <alignment horizontal="center" vertical="top" wrapText="1"/>
    </xf>
    <xf numFmtId="167" fontId="61" fillId="5" borderId="6" xfId="1" applyNumberFormat="1" applyFont="1" applyFill="1" applyBorder="1" applyAlignment="1">
      <alignment horizontal="center" vertical="top" wrapText="1"/>
    </xf>
    <xf numFmtId="0" fontId="73" fillId="5" borderId="6" xfId="0" applyFont="1" applyFill="1" applyBorder="1" applyAlignment="1">
      <alignment horizontal="left" vertical="top" wrapText="1"/>
    </xf>
    <xf numFmtId="0" fontId="73" fillId="5" borderId="10" xfId="0" applyFont="1" applyFill="1" applyBorder="1" applyAlignment="1">
      <alignment horizontal="left" vertical="top" wrapText="1"/>
    </xf>
    <xf numFmtId="1" fontId="67" fillId="5" borderId="10" xfId="0" applyNumberFormat="1" applyFont="1" applyFill="1" applyBorder="1" applyAlignment="1">
      <alignment horizontal="center" vertical="top" wrapText="1"/>
    </xf>
    <xf numFmtId="0" fontId="61" fillId="5" borderId="10" xfId="1" applyNumberFormat="1" applyFont="1" applyFill="1" applyBorder="1" applyAlignment="1">
      <alignment horizontal="center" vertical="top" wrapText="1"/>
    </xf>
    <xf numFmtId="9" fontId="61" fillId="5" borderId="10" xfId="2" applyFont="1" applyFill="1" applyBorder="1" applyAlignment="1">
      <alignment horizontal="center" vertical="top"/>
    </xf>
    <xf numFmtId="0" fontId="61" fillId="5" borderId="10" xfId="0" applyFont="1" applyFill="1" applyBorder="1" applyAlignment="1">
      <alignment horizontal="left" vertical="top" wrapText="1"/>
    </xf>
    <xf numFmtId="41" fontId="61" fillId="6" borderId="13" xfId="0" applyNumberFormat="1" applyFont="1" applyFill="1" applyBorder="1"/>
    <xf numFmtId="41" fontId="61" fillId="6" borderId="13" xfId="0" applyNumberFormat="1" applyFont="1" applyFill="1" applyBorder="1" applyAlignment="1">
      <alignment horizontal="right"/>
    </xf>
    <xf numFmtId="165" fontId="61" fillId="6" borderId="13" xfId="2" applyNumberFormat="1" applyFont="1" applyFill="1" applyBorder="1" applyAlignment="1">
      <alignment horizontal="center" vertical="center"/>
    </xf>
    <xf numFmtId="0" fontId="61" fillId="5" borderId="8" xfId="0" applyFont="1" applyFill="1" applyBorder="1" applyAlignment="1">
      <alignment vertical="top" wrapText="1"/>
    </xf>
    <xf numFmtId="0" fontId="61" fillId="5" borderId="12" xfId="0" applyFont="1" applyFill="1" applyBorder="1" applyAlignment="1">
      <alignment vertical="top" wrapText="1"/>
    </xf>
    <xf numFmtId="0" fontId="63" fillId="5" borderId="12" xfId="0" applyFont="1" applyFill="1" applyBorder="1" applyAlignment="1">
      <alignment horizontal="center" vertical="top" wrapText="1"/>
    </xf>
    <xf numFmtId="9" fontId="61" fillId="5" borderId="12" xfId="2" applyFont="1" applyFill="1" applyBorder="1" applyAlignment="1">
      <alignment horizontal="center" vertical="top"/>
    </xf>
    <xf numFmtId="0" fontId="61" fillId="5" borderId="12" xfId="0" applyFont="1" applyFill="1" applyBorder="1" applyAlignment="1">
      <alignment horizontal="left" vertical="top" wrapText="1"/>
    </xf>
    <xf numFmtId="0" fontId="65" fillId="6" borderId="4" xfId="0" applyFont="1" applyFill="1" applyBorder="1" applyAlignment="1">
      <alignment horizontal="center"/>
    </xf>
    <xf numFmtId="0" fontId="65" fillId="6" borderId="13" xfId="0" applyFont="1" applyFill="1" applyBorder="1"/>
    <xf numFmtId="165" fontId="65" fillId="6" borderId="13" xfId="2" applyNumberFormat="1" applyFont="1" applyFill="1" applyBorder="1" applyAlignment="1">
      <alignment horizontal="center" vertical="center"/>
    </xf>
    <xf numFmtId="0" fontId="66" fillId="5" borderId="8" xfId="0" applyFont="1" applyFill="1" applyBorder="1" applyAlignment="1">
      <alignment horizontal="justify" vertical="top" wrapText="1"/>
    </xf>
    <xf numFmtId="0" fontId="66" fillId="5" borderId="8" xfId="0" applyFont="1" applyFill="1" applyBorder="1" applyAlignment="1">
      <alignment horizontal="center" vertical="top" wrapText="1"/>
    </xf>
    <xf numFmtId="0" fontId="66" fillId="5" borderId="6" xfId="0" applyFont="1" applyFill="1" applyBorder="1" applyAlignment="1">
      <alignment horizontal="justify" vertical="top" wrapText="1"/>
    </xf>
    <xf numFmtId="0" fontId="66" fillId="5" borderId="6" xfId="0" applyFont="1" applyFill="1" applyBorder="1" applyAlignment="1">
      <alignment horizontal="center" vertical="top" wrapText="1"/>
    </xf>
    <xf numFmtId="0" fontId="66" fillId="5" borderId="6" xfId="0" applyFont="1" applyFill="1" applyBorder="1" applyAlignment="1">
      <alignment vertical="top" wrapText="1"/>
    </xf>
    <xf numFmtId="0" fontId="74" fillId="5" borderId="6" xfId="0" applyFont="1" applyFill="1" applyBorder="1" applyAlignment="1">
      <alignment horizontal="center" vertical="top" wrapText="1"/>
    </xf>
    <xf numFmtId="0" fontId="63" fillId="5" borderId="10" xfId="0" applyFont="1" applyFill="1" applyBorder="1" applyAlignment="1">
      <alignment horizontal="left" vertical="top" wrapText="1"/>
    </xf>
    <xf numFmtId="1" fontId="63" fillId="5" borderId="10" xfId="1" applyNumberFormat="1" applyFont="1" applyFill="1" applyBorder="1" applyAlignment="1">
      <alignment horizontal="center" vertical="top" wrapText="1"/>
    </xf>
    <xf numFmtId="0" fontId="67" fillId="5" borderId="10" xfId="1" applyNumberFormat="1" applyFont="1" applyFill="1" applyBorder="1" applyAlignment="1">
      <alignment horizontal="center" vertical="top" wrapText="1"/>
    </xf>
    <xf numFmtId="0" fontId="65" fillId="6" borderId="4" xfId="0" applyFont="1" applyFill="1" applyBorder="1" applyAlignment="1">
      <alignment horizontal="center" vertical="center"/>
    </xf>
    <xf numFmtId="0" fontId="65" fillId="6" borderId="13" xfId="0" applyFont="1" applyFill="1" applyBorder="1" applyAlignment="1">
      <alignment vertical="center"/>
    </xf>
    <xf numFmtId="41" fontId="65" fillId="6" borderId="13" xfId="0" applyNumberFormat="1" applyFont="1" applyFill="1" applyBorder="1" applyAlignment="1">
      <alignment vertical="center"/>
    </xf>
    <xf numFmtId="41" fontId="65" fillId="6" borderId="13" xfId="0" applyNumberFormat="1" applyFont="1" applyFill="1" applyBorder="1" applyAlignment="1">
      <alignment horizontal="right" vertical="center"/>
    </xf>
    <xf numFmtId="0" fontId="63" fillId="5" borderId="12" xfId="0" applyFont="1" applyFill="1" applyBorder="1" applyAlignment="1">
      <alignment vertical="top" wrapText="1"/>
    </xf>
    <xf numFmtId="9" fontId="65" fillId="6" borderId="13" xfId="2" applyFont="1" applyFill="1" applyBorder="1" applyAlignment="1">
      <alignment horizontal="center" vertical="center"/>
    </xf>
    <xf numFmtId="0" fontId="66" fillId="5" borderId="20" xfId="0" applyFont="1" applyFill="1" applyBorder="1" applyAlignment="1">
      <alignment horizontal="justify" vertical="top" wrapText="1"/>
    </xf>
    <xf numFmtId="9" fontId="61" fillId="5" borderId="88" xfId="2" applyFont="1" applyFill="1" applyBorder="1" applyAlignment="1">
      <alignment horizontal="center" vertical="top"/>
    </xf>
    <xf numFmtId="0" fontId="63" fillId="5" borderId="21" xfId="0" applyFont="1" applyFill="1" applyBorder="1" applyAlignment="1">
      <alignment vertical="top" wrapText="1"/>
    </xf>
    <xf numFmtId="0" fontId="75" fillId="5" borderId="8" xfId="0" applyFont="1" applyFill="1" applyBorder="1" applyAlignment="1">
      <alignment horizontal="center" vertical="top" wrapText="1"/>
    </xf>
    <xf numFmtId="9" fontId="67" fillId="5" borderId="80" xfId="2" applyFont="1" applyFill="1" applyBorder="1" applyAlignment="1">
      <alignment horizontal="center" vertical="top"/>
    </xf>
    <xf numFmtId="0" fontId="76" fillId="5" borderId="23" xfId="0" applyFont="1" applyFill="1" applyBorder="1" applyAlignment="1">
      <alignment horizontal="left" vertical="top" wrapText="1"/>
    </xf>
    <xf numFmtId="9" fontId="61" fillId="5" borderId="80" xfId="2" applyFont="1" applyFill="1" applyBorder="1" applyAlignment="1">
      <alignment horizontal="center" vertical="top"/>
    </xf>
    <xf numFmtId="0" fontId="61" fillId="5" borderId="25" xfId="0" applyFont="1" applyFill="1" applyBorder="1" applyAlignment="1">
      <alignment horizontal="left" vertical="top" wrapText="1"/>
    </xf>
    <xf numFmtId="0" fontId="64" fillId="5" borderId="25" xfId="0" applyFont="1" applyFill="1" applyBorder="1" applyAlignment="1">
      <alignment horizontal="left" vertical="top" wrapText="1"/>
    </xf>
    <xf numFmtId="0" fontId="61" fillId="6" borderId="89" xfId="0" applyFont="1" applyFill="1" applyBorder="1" applyAlignment="1">
      <alignment horizontal="center"/>
    </xf>
    <xf numFmtId="0" fontId="61" fillId="6" borderId="28" xfId="0" applyFont="1" applyFill="1" applyBorder="1"/>
    <xf numFmtId="41" fontId="61" fillId="6" borderId="11" xfId="0" applyNumberFormat="1" applyFont="1" applyFill="1" applyBorder="1"/>
    <xf numFmtId="41" fontId="61" fillId="6" borderId="11" xfId="0" applyNumberFormat="1" applyFont="1" applyFill="1" applyBorder="1" applyAlignment="1">
      <alignment horizontal="right"/>
    </xf>
    <xf numFmtId="165" fontId="61" fillId="6" borderId="11" xfId="2" applyNumberFormat="1" applyFont="1" applyFill="1" applyBorder="1" applyAlignment="1">
      <alignment horizontal="center" vertical="center"/>
    </xf>
    <xf numFmtId="9" fontId="0" fillId="5" borderId="8" xfId="2" applyFont="1" applyFill="1" applyBorder="1" applyAlignment="1">
      <alignment horizontal="center" vertical="top" wrapText="1"/>
    </xf>
    <xf numFmtId="41" fontId="0" fillId="5" borderId="10" xfId="0" applyNumberFormat="1" applyFill="1" applyBorder="1" applyAlignment="1">
      <alignment horizontal="center" vertical="top" wrapText="1"/>
    </xf>
    <xf numFmtId="165" fontId="0" fillId="5" borderId="16" xfId="2" applyNumberFormat="1" applyFont="1" applyFill="1" applyBorder="1" applyAlignment="1">
      <alignment horizontal="center" vertical="top"/>
    </xf>
    <xf numFmtId="41" fontId="0" fillId="5" borderId="6" xfId="0" applyNumberFormat="1" applyFill="1" applyBorder="1" applyAlignment="1">
      <alignment horizontal="left" vertical="top" wrapText="1"/>
    </xf>
    <xf numFmtId="41" fontId="0" fillId="5" borderId="6" xfId="0" applyNumberFormat="1" applyFill="1" applyBorder="1" applyAlignment="1">
      <alignment horizontal="right" vertical="top" wrapText="1"/>
    </xf>
    <xf numFmtId="41" fontId="0" fillId="5" borderId="10" xfId="0" applyNumberFormat="1" applyFill="1" applyBorder="1" applyAlignment="1">
      <alignment horizontal="left" vertical="top" wrapText="1"/>
    </xf>
    <xf numFmtId="41" fontId="0" fillId="5" borderId="10" xfId="0" applyNumberFormat="1" applyFill="1" applyBorder="1" applyAlignment="1">
      <alignment horizontal="right" vertical="top" wrapText="1"/>
    </xf>
    <xf numFmtId="0" fontId="4" fillId="6" borderId="1" xfId="0" applyFont="1" applyFill="1" applyBorder="1" applyAlignment="1">
      <alignment horizontal="center"/>
    </xf>
    <xf numFmtId="0" fontId="4" fillId="6" borderId="2" xfId="0" applyFont="1" applyFill="1" applyBorder="1"/>
    <xf numFmtId="41" fontId="4" fillId="6" borderId="2" xfId="0" applyNumberFormat="1" applyFont="1" applyFill="1" applyBorder="1" applyAlignment="1">
      <alignment horizontal="left"/>
    </xf>
    <xf numFmtId="41" fontId="4" fillId="6" borderId="2" xfId="0" applyNumberFormat="1" applyFont="1" applyFill="1" applyBorder="1"/>
    <xf numFmtId="41" fontId="4" fillId="6" borderId="36" xfId="0" applyNumberFormat="1" applyFont="1" applyFill="1" applyBorder="1"/>
    <xf numFmtId="165" fontId="4" fillId="6" borderId="3" xfId="0" applyNumberFormat="1" applyFont="1" applyFill="1" applyBorder="1" applyAlignment="1">
      <alignment horizontal="left"/>
    </xf>
    <xf numFmtId="0" fontId="82" fillId="23" borderId="1" xfId="0" applyFont="1" applyFill="1" applyBorder="1" applyAlignment="1">
      <alignment horizontal="center" vertical="center" wrapText="1"/>
    </xf>
    <xf numFmtId="0" fontId="82" fillId="23" borderId="5" xfId="0" applyFont="1" applyFill="1" applyBorder="1" applyAlignment="1">
      <alignment horizontal="center" vertical="center" wrapText="1"/>
    </xf>
    <xf numFmtId="0" fontId="82" fillId="23" borderId="2" xfId="0" applyFont="1" applyFill="1" applyBorder="1" applyAlignment="1">
      <alignment horizontal="center" vertical="center" wrapText="1"/>
    </xf>
    <xf numFmtId="41" fontId="82" fillId="23" borderId="5" xfId="0" applyNumberFormat="1" applyFont="1" applyFill="1" applyBorder="1" applyAlignment="1">
      <alignment horizontal="center" vertical="center" wrapText="1"/>
    </xf>
    <xf numFmtId="41" fontId="82" fillId="23" borderId="2" xfId="0" applyNumberFormat="1" applyFont="1" applyFill="1" applyBorder="1" applyAlignment="1">
      <alignment horizontal="center" vertical="center" wrapText="1"/>
    </xf>
    <xf numFmtId="0" fontId="82" fillId="23" borderId="5" xfId="0" applyFont="1" applyFill="1" applyBorder="1" applyAlignment="1">
      <alignment horizontal="left" vertical="center" wrapText="1"/>
    </xf>
    <xf numFmtId="0" fontId="85" fillId="0" borderId="8" xfId="0" applyFont="1" applyBorder="1" applyAlignment="1">
      <alignment horizontal="left" vertical="top" wrapText="1"/>
    </xf>
    <xf numFmtId="0" fontId="86" fillId="0" borderId="6" xfId="0" applyFont="1" applyBorder="1" applyAlignment="1">
      <alignment horizontal="center" vertical="top" wrapText="1"/>
    </xf>
    <xf numFmtId="3" fontId="86" fillId="0" borderId="6" xfId="0" applyNumberFormat="1" applyFont="1" applyBorder="1" applyAlignment="1">
      <alignment horizontal="center" vertical="top"/>
    </xf>
    <xf numFmtId="3" fontId="86" fillId="5" borderId="6" xfId="0" applyNumberFormat="1" applyFont="1" applyFill="1" applyBorder="1" applyAlignment="1">
      <alignment horizontal="center" vertical="top" wrapText="1"/>
    </xf>
    <xf numFmtId="9" fontId="86" fillId="5" borderId="6" xfId="2" applyFont="1" applyFill="1" applyBorder="1" applyAlignment="1">
      <alignment horizontal="center" vertical="top" wrapText="1"/>
    </xf>
    <xf numFmtId="0" fontId="86" fillId="0" borderId="6" xfId="0" applyFont="1" applyBorder="1" applyAlignment="1">
      <alignment vertical="top" wrapText="1"/>
    </xf>
    <xf numFmtId="0" fontId="85" fillId="0" borderId="6" xfId="0" applyFont="1" applyBorder="1" applyAlignment="1">
      <alignment vertical="top" wrapText="1"/>
    </xf>
    <xf numFmtId="3" fontId="86" fillId="0" borderId="6" xfId="0" applyNumberFormat="1" applyFont="1" applyBorder="1" applyAlignment="1">
      <alignment horizontal="center" vertical="top" wrapText="1"/>
    </xf>
    <xf numFmtId="9" fontId="86" fillId="0" borderId="6" xfId="2" applyFont="1" applyFill="1" applyBorder="1" applyAlignment="1">
      <alignment horizontal="center" vertical="top" wrapText="1"/>
    </xf>
    <xf numFmtId="0" fontId="85" fillId="0" borderId="10" xfId="0" applyFont="1" applyBorder="1" applyAlignment="1">
      <alignment vertical="top" wrapText="1"/>
    </xf>
    <xf numFmtId="0" fontId="86" fillId="0" borderId="10" xfId="0" applyFont="1" applyBorder="1" applyAlignment="1">
      <alignment horizontal="center" vertical="top" wrapText="1"/>
    </xf>
    <xf numFmtId="3" fontId="86" fillId="0" borderId="10" xfId="0" applyNumberFormat="1" applyFont="1" applyBorder="1" applyAlignment="1">
      <alignment horizontal="center" vertical="top"/>
    </xf>
    <xf numFmtId="3" fontId="86" fillId="5" borderId="10" xfId="0" applyNumberFormat="1" applyFont="1" applyFill="1" applyBorder="1" applyAlignment="1">
      <alignment horizontal="center" vertical="top" wrapText="1"/>
    </xf>
    <xf numFmtId="9" fontId="86" fillId="5" borderId="10" xfId="2" applyFont="1" applyFill="1" applyBorder="1" applyAlignment="1">
      <alignment horizontal="center" vertical="top" wrapText="1"/>
    </xf>
    <xf numFmtId="0" fontId="86" fillId="0" borderId="10" xfId="0" applyFont="1" applyBorder="1" applyAlignment="1">
      <alignment vertical="top" wrapText="1"/>
    </xf>
    <xf numFmtId="0" fontId="87" fillId="0" borderId="4" xfId="0" applyFont="1" applyBorder="1" applyAlignment="1">
      <alignment vertical="top" wrapText="1"/>
    </xf>
    <xf numFmtId="0" fontId="88" fillId="0" borderId="37" xfId="0" applyFont="1" applyBorder="1" applyAlignment="1">
      <alignment vertical="top" wrapText="1"/>
    </xf>
    <xf numFmtId="0" fontId="89" fillId="0" borderId="5" xfId="0" applyFont="1" applyBorder="1" applyAlignment="1">
      <alignment horizontal="right" vertical="top" wrapText="1"/>
    </xf>
    <xf numFmtId="0" fontId="83" fillId="0" borderId="36" xfId="0" applyFont="1" applyBorder="1" applyAlignment="1">
      <alignment horizontal="center" vertical="top" wrapText="1"/>
    </xf>
    <xf numFmtId="3" fontId="83" fillId="0" borderId="13" xfId="0" applyNumberFormat="1" applyFont="1" applyBorder="1" applyAlignment="1">
      <alignment horizontal="center" vertical="top"/>
    </xf>
    <xf numFmtId="3" fontId="83" fillId="5" borderId="13" xfId="0" applyNumberFormat="1" applyFont="1" applyFill="1" applyBorder="1" applyAlignment="1">
      <alignment horizontal="center" vertical="top" wrapText="1"/>
    </xf>
    <xf numFmtId="9" fontId="83" fillId="5" borderId="13" xfId="2" applyFont="1" applyFill="1" applyBorder="1" applyAlignment="1">
      <alignment horizontal="center" vertical="top" wrapText="1"/>
    </xf>
    <xf numFmtId="0" fontId="94" fillId="0" borderId="8" xfId="0" applyFont="1" applyBorder="1" applyAlignment="1">
      <alignment vertical="top" wrapText="1"/>
    </xf>
    <xf numFmtId="0" fontId="94" fillId="0" borderId="6" xfId="0" applyFont="1" applyBorder="1" applyAlignment="1">
      <alignment vertical="top" wrapText="1"/>
    </xf>
    <xf numFmtId="0" fontId="94" fillId="0" borderId="10" xfId="0" applyFont="1" applyBorder="1" applyAlignment="1">
      <alignment vertical="top" wrapText="1"/>
    </xf>
    <xf numFmtId="3" fontId="86" fillId="0" borderId="10" xfId="0" applyNumberFormat="1" applyFont="1" applyBorder="1" applyAlignment="1">
      <alignment horizontal="center" vertical="top" wrapText="1"/>
    </xf>
    <xf numFmtId="0" fontId="95" fillId="0" borderId="4" xfId="0" applyFont="1" applyBorder="1" applyAlignment="1">
      <alignment vertical="top" wrapText="1"/>
    </xf>
    <xf numFmtId="0" fontId="96" fillId="0" borderId="13" xfId="0" applyFont="1" applyBorder="1" applyAlignment="1">
      <alignment vertical="top" wrapText="1"/>
    </xf>
    <xf numFmtId="0" fontId="96" fillId="0" borderId="13" xfId="0" applyFont="1" applyBorder="1" applyAlignment="1">
      <alignment horizontal="right" vertical="center" wrapText="1"/>
    </xf>
    <xf numFmtId="0" fontId="96" fillId="0" borderId="13" xfId="0" applyFont="1" applyBorder="1" applyAlignment="1">
      <alignment horizontal="center" vertical="top" wrapText="1"/>
    </xf>
    <xf numFmtId="9" fontId="97" fillId="5" borderId="13" xfId="2" applyFont="1" applyFill="1" applyBorder="1" applyAlignment="1">
      <alignment horizontal="center" vertical="top" wrapText="1"/>
    </xf>
    <xf numFmtId="0" fontId="90" fillId="27" borderId="1" xfId="0" applyFont="1" applyFill="1" applyBorder="1" applyAlignment="1">
      <alignment vertical="center"/>
    </xf>
    <xf numFmtId="0" fontId="90" fillId="27" borderId="2" xfId="0" applyFont="1" applyFill="1" applyBorder="1" applyAlignment="1">
      <alignment vertical="center"/>
    </xf>
    <xf numFmtId="0" fontId="90" fillId="27" borderId="2" xfId="0" applyFont="1" applyFill="1" applyBorder="1" applyAlignment="1">
      <alignment horizontal="center" vertical="center"/>
    </xf>
    <xf numFmtId="0" fontId="90" fillId="27" borderId="3" xfId="0" applyFont="1" applyFill="1" applyBorder="1" applyAlignment="1">
      <alignment vertical="center"/>
    </xf>
    <xf numFmtId="0" fontId="93" fillId="0" borderId="6" xfId="0" applyFont="1" applyBorder="1" applyAlignment="1">
      <alignment horizontal="left" vertical="top" wrapText="1"/>
    </xf>
    <xf numFmtId="0" fontId="98" fillId="0" borderId="7" xfId="0" applyFont="1" applyBorder="1" applyAlignment="1">
      <alignment horizontal="center" vertical="top" wrapText="1"/>
    </xf>
    <xf numFmtId="0" fontId="98" fillId="0" borderId="8" xfId="1" applyNumberFormat="1" applyFont="1" applyBorder="1" applyAlignment="1">
      <alignment horizontal="center" vertical="top" wrapText="1"/>
    </xf>
    <xf numFmtId="0" fontId="98" fillId="0" borderId="8" xfId="0" applyFont="1" applyBorder="1" applyAlignment="1">
      <alignment horizontal="center" vertical="top" wrapText="1"/>
    </xf>
    <xf numFmtId="9" fontId="99" fillId="5" borderId="8" xfId="2" applyFont="1" applyFill="1" applyBorder="1" applyAlignment="1">
      <alignment horizontal="center" vertical="top" wrapText="1"/>
    </xf>
    <xf numFmtId="0" fontId="98" fillId="0" borderId="8" xfId="0" applyFont="1" applyBorder="1" applyAlignment="1">
      <alignment horizontal="left" vertical="top" wrapText="1"/>
    </xf>
    <xf numFmtId="0" fontId="93" fillId="0" borderId="10" xfId="0" applyFont="1" applyBorder="1" applyAlignment="1">
      <alignment horizontal="left" vertical="top" wrapText="1"/>
    </xf>
    <xf numFmtId="0" fontId="98" fillId="0" borderId="18" xfId="0" applyFont="1" applyBorder="1" applyAlignment="1">
      <alignment horizontal="center" vertical="top" wrapText="1"/>
    </xf>
    <xf numFmtId="0" fontId="98" fillId="0" borderId="12" xfId="1" applyNumberFormat="1" applyFont="1" applyBorder="1" applyAlignment="1">
      <alignment horizontal="center" vertical="top" wrapText="1"/>
    </xf>
    <xf numFmtId="0" fontId="98" fillId="0" borderId="12" xfId="0" applyFont="1" applyBorder="1" applyAlignment="1">
      <alignment horizontal="center" vertical="top" wrapText="1"/>
    </xf>
    <xf numFmtId="9" fontId="99" fillId="5" borderId="12" xfId="2" applyFont="1" applyFill="1" applyBorder="1" applyAlignment="1">
      <alignment horizontal="center" vertical="top" wrapText="1"/>
    </xf>
    <xf numFmtId="0" fontId="98" fillId="0" borderId="12" xfId="0" applyFont="1" applyBorder="1" applyAlignment="1">
      <alignment horizontal="left" vertical="top" wrapText="1"/>
    </xf>
    <xf numFmtId="0" fontId="87" fillId="0" borderId="1" xfId="0" applyFont="1" applyBorder="1" applyAlignment="1">
      <alignment vertical="center" wrapText="1"/>
    </xf>
    <xf numFmtId="0" fontId="100" fillId="0" borderId="2" xfId="0" applyFont="1" applyBorder="1" applyAlignment="1">
      <alignment vertical="center" wrapText="1"/>
    </xf>
    <xf numFmtId="0" fontId="101" fillId="0" borderId="13" xfId="0" applyFont="1" applyBorder="1" applyAlignment="1">
      <alignment horizontal="right" vertical="center" wrapText="1"/>
    </xf>
    <xf numFmtId="0" fontId="101" fillId="0" borderId="36" xfId="0" applyFont="1" applyBorder="1" applyAlignment="1">
      <alignment horizontal="center" vertical="center" wrapText="1"/>
    </xf>
    <xf numFmtId="0" fontId="101" fillId="0" borderId="13" xfId="0" applyFont="1" applyBorder="1" applyAlignment="1">
      <alignment horizontal="left" vertical="center" wrapText="1"/>
    </xf>
    <xf numFmtId="9" fontId="83" fillId="5" borderId="13" xfId="2" applyFont="1" applyFill="1" applyBorder="1" applyAlignment="1">
      <alignment horizontal="center" vertical="center" wrapText="1"/>
    </xf>
    <xf numFmtId="0" fontId="98" fillId="0" borderId="6" xfId="0" applyFont="1" applyBorder="1" applyAlignment="1">
      <alignment vertical="top" wrapText="1"/>
    </xf>
    <xf numFmtId="0" fontId="98" fillId="0" borderId="6" xfId="0" applyFont="1" applyBorder="1" applyAlignment="1">
      <alignment horizontal="center" vertical="top" wrapText="1"/>
    </xf>
    <xf numFmtId="0" fontId="98" fillId="0" borderId="6" xfId="0" applyFont="1" applyBorder="1" applyAlignment="1">
      <alignment horizontal="left" vertical="top" wrapText="1"/>
    </xf>
    <xf numFmtId="0" fontId="0" fillId="0" borderId="99" xfId="0" applyBorder="1" applyAlignment="1">
      <alignment horizontal="left" vertical="top" wrapText="1"/>
    </xf>
    <xf numFmtId="0" fontId="98" fillId="0" borderId="8" xfId="0" applyFont="1" applyBorder="1" applyAlignment="1">
      <alignment horizontal="center" vertical="top"/>
    </xf>
    <xf numFmtId="0" fontId="98" fillId="0" borderId="99" xfId="0" applyFont="1" applyBorder="1" applyAlignment="1">
      <alignment horizontal="left" vertical="top" wrapText="1"/>
    </xf>
    <xf numFmtId="0" fontId="98" fillId="0" borderId="6" xfId="0" applyFont="1" applyBorder="1" applyAlignment="1">
      <alignment horizontal="center" vertical="top"/>
    </xf>
    <xf numFmtId="9" fontId="86" fillId="5" borderId="80" xfId="2" applyFont="1" applyFill="1" applyBorder="1" applyAlignment="1">
      <alignment horizontal="center" vertical="top" wrapText="1"/>
    </xf>
    <xf numFmtId="9" fontId="83" fillId="5" borderId="6" xfId="2"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41" fontId="4" fillId="0" borderId="5" xfId="0" applyNumberFormat="1" applyFont="1" applyBorder="1" applyAlignment="1">
      <alignment horizontal="center" vertical="center" wrapText="1"/>
    </xf>
    <xf numFmtId="41" fontId="4" fillId="0" borderId="2" xfId="0" applyNumberFormat="1" applyFont="1" applyBorder="1" applyAlignment="1">
      <alignment horizontal="center" vertical="center" wrapText="1"/>
    </xf>
    <xf numFmtId="0" fontId="4" fillId="0" borderId="36" xfId="0" applyFont="1" applyBorder="1" applyAlignment="1">
      <alignment horizontal="center" vertical="center" wrapText="1"/>
    </xf>
    <xf numFmtId="0" fontId="77" fillId="0" borderId="13" xfId="0" applyFont="1" applyBorder="1" applyAlignment="1">
      <alignment horizontal="center" vertical="top" wrapText="1"/>
    </xf>
    <xf numFmtId="0" fontId="77" fillId="0" borderId="13" xfId="0" applyFont="1" applyBorder="1" applyAlignment="1">
      <alignment horizontal="left" vertical="top" wrapText="1"/>
    </xf>
    <xf numFmtId="3" fontId="0" fillId="0" borderId="13" xfId="0" applyNumberFormat="1" applyBorder="1" applyAlignment="1">
      <alignment horizontal="center" vertical="top"/>
    </xf>
    <xf numFmtId="3" fontId="0" fillId="5" borderId="13" xfId="0" applyNumberFormat="1" applyFill="1" applyBorder="1" applyAlignment="1">
      <alignment horizontal="center" vertical="top" wrapText="1"/>
    </xf>
    <xf numFmtId="9" fontId="0" fillId="5" borderId="13" xfId="2" applyFont="1" applyFill="1" applyBorder="1" applyAlignment="1">
      <alignment horizontal="center" vertical="top" wrapText="1"/>
    </xf>
    <xf numFmtId="0" fontId="104" fillId="0" borderId="0" xfId="0" applyFont="1" applyAlignment="1">
      <alignment horizontal="right" vertical="top" wrapText="1"/>
    </xf>
    <xf numFmtId="0" fontId="104" fillId="0" borderId="0" xfId="0" applyFont="1" applyAlignment="1">
      <alignment horizontal="left" vertical="top" wrapText="1"/>
    </xf>
    <xf numFmtId="0" fontId="16" fillId="0" borderId="0" xfId="0" applyFont="1" applyAlignment="1">
      <alignment horizontal="center" vertical="top" wrapText="1"/>
    </xf>
    <xf numFmtId="3" fontId="16" fillId="0" borderId="0" xfId="0" applyNumberFormat="1" applyFont="1" applyAlignment="1">
      <alignment horizontal="center" vertical="top"/>
    </xf>
    <xf numFmtId="3" fontId="16" fillId="5" borderId="0" xfId="0" applyNumberFormat="1" applyFont="1" applyFill="1" applyAlignment="1">
      <alignment horizontal="center" vertical="top" wrapText="1"/>
    </xf>
    <xf numFmtId="9" fontId="16" fillId="5" borderId="0" xfId="2" applyFont="1" applyFill="1" applyBorder="1" applyAlignment="1">
      <alignment horizontal="center" vertical="top" wrapText="1"/>
    </xf>
    <xf numFmtId="0" fontId="77" fillId="0" borderId="13" xfId="0" applyFont="1" applyBorder="1" applyAlignment="1">
      <alignment horizontal="center" vertical="top"/>
    </xf>
    <xf numFmtId="0" fontId="0" fillId="5" borderId="13" xfId="0" applyFill="1" applyBorder="1" applyAlignment="1">
      <alignment horizontal="center" vertical="top" wrapText="1"/>
    </xf>
    <xf numFmtId="0" fontId="0" fillId="0" borderId="13" xfId="0" applyBorder="1" applyAlignment="1">
      <alignment vertical="center" wrapText="1"/>
    </xf>
    <xf numFmtId="0" fontId="77" fillId="0" borderId="0" xfId="0" applyFont="1" applyAlignment="1">
      <alignment horizontal="center" vertical="top" wrapText="1"/>
    </xf>
    <xf numFmtId="0" fontId="0" fillId="5" borderId="0" xfId="0" applyFill="1" applyAlignment="1">
      <alignment horizontal="center" vertical="top" wrapText="1"/>
    </xf>
    <xf numFmtId="0" fontId="77" fillId="0" borderId="0" xfId="0" applyFont="1" applyAlignment="1">
      <alignment horizontal="center" vertical="top"/>
    </xf>
    <xf numFmtId="9" fontId="0" fillId="5" borderId="0" xfId="2"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0" fillId="0" borderId="4" xfId="0" applyBorder="1" applyAlignment="1">
      <alignment horizontal="center" wrapText="1"/>
    </xf>
    <xf numFmtId="0" fontId="0" fillId="0" borderId="13" xfId="0" applyBorder="1" applyAlignment="1">
      <alignment horizontal="center" wrapText="1"/>
    </xf>
    <xf numFmtId="0" fontId="4" fillId="0" borderId="13" xfId="0" applyFont="1" applyBorder="1" applyAlignment="1">
      <alignment horizontal="right" wrapText="1"/>
    </xf>
    <xf numFmtId="9" fontId="4" fillId="0" borderId="13" xfId="0" applyNumberFormat="1" applyFont="1" applyBorder="1" applyAlignment="1">
      <alignment horizontal="center" vertical="center" wrapText="1"/>
    </xf>
    <xf numFmtId="0" fontId="0" fillId="0" borderId="14" xfId="0" applyBorder="1"/>
    <xf numFmtId="0" fontId="4" fillId="0" borderId="0" xfId="0" applyFont="1"/>
    <xf numFmtId="0" fontId="0" fillId="0" borderId="4" xfId="0" applyBorder="1"/>
    <xf numFmtId="0" fontId="0" fillId="0" borderId="13" xfId="0" applyBorder="1"/>
    <xf numFmtId="9" fontId="4" fillId="0" borderId="13" xfId="2" applyFont="1" applyBorder="1" applyAlignment="1">
      <alignment horizontal="center"/>
    </xf>
    <xf numFmtId="0" fontId="36" fillId="8" borderId="1" xfId="0" applyFont="1" applyFill="1" applyBorder="1" applyAlignment="1">
      <alignment horizontal="center" vertical="center" wrapText="1"/>
    </xf>
    <xf numFmtId="0" fontId="36" fillId="8" borderId="5" xfId="0" applyFont="1" applyFill="1" applyBorder="1" applyAlignment="1">
      <alignment horizontal="center" vertical="center" wrapText="1"/>
    </xf>
    <xf numFmtId="0" fontId="36" fillId="8" borderId="2" xfId="0" applyFont="1" applyFill="1" applyBorder="1" applyAlignment="1">
      <alignment horizontal="center" vertical="center" wrapText="1"/>
    </xf>
    <xf numFmtId="41" fontId="36" fillId="8" borderId="5" xfId="0" applyNumberFormat="1" applyFont="1" applyFill="1" applyBorder="1" applyAlignment="1">
      <alignment horizontal="center" vertical="center" wrapText="1"/>
    </xf>
    <xf numFmtId="41" fontId="36" fillId="8" borderId="2" xfId="0" applyNumberFormat="1" applyFont="1" applyFill="1" applyBorder="1" applyAlignment="1">
      <alignment horizontal="center" vertical="center" wrapText="1"/>
    </xf>
    <xf numFmtId="9" fontId="17" fillId="5" borderId="6" xfId="2" applyFont="1" applyFill="1" applyBorder="1" applyAlignment="1">
      <alignment horizontal="center" vertical="top" wrapText="1"/>
    </xf>
    <xf numFmtId="0" fontId="107" fillId="0" borderId="6" xfId="0" applyFont="1" applyBorder="1" applyAlignment="1">
      <alignment horizontal="center" vertical="top"/>
    </xf>
    <xf numFmtId="0" fontId="107" fillId="0" borderId="6" xfId="0" applyFont="1" applyBorder="1" applyAlignment="1">
      <alignment horizontal="left" vertical="top" wrapText="1"/>
    </xf>
    <xf numFmtId="0" fontId="7" fillId="0" borderId="6" xfId="0" applyFont="1" applyBorder="1" applyAlignment="1">
      <alignment horizontal="center" vertical="top"/>
    </xf>
    <xf numFmtId="9" fontId="0" fillId="0" borderId="6" xfId="2" applyFont="1" applyFill="1" applyBorder="1" applyAlignment="1">
      <alignment horizontal="center" vertical="top" wrapText="1"/>
    </xf>
    <xf numFmtId="0" fontId="3" fillId="0" borderId="8" xfId="0" applyFont="1" applyBorder="1" applyAlignment="1">
      <alignment horizontal="center" vertical="top" wrapText="1"/>
    </xf>
    <xf numFmtId="0" fontId="0" fillId="0" borderId="93" xfId="0" applyBorder="1" applyAlignment="1">
      <alignment horizontal="left" vertical="top" wrapText="1"/>
    </xf>
    <xf numFmtId="0" fontId="0" fillId="0" borderId="93" xfId="0" applyBorder="1" applyAlignment="1">
      <alignment horizontal="center" vertical="top"/>
    </xf>
    <xf numFmtId="0" fontId="0" fillId="0" borderId="6" xfId="0" applyBorder="1" applyAlignment="1">
      <alignment vertical="center" wrapText="1"/>
    </xf>
    <xf numFmtId="0" fontId="0" fillId="0" borderId="101" xfId="0" applyBorder="1" applyAlignment="1">
      <alignment horizontal="left" vertical="top" wrapText="1"/>
    </xf>
    <xf numFmtId="0" fontId="0" fillId="0" borderId="102" xfId="0" applyBorder="1" applyAlignment="1">
      <alignment horizontal="center" vertical="top"/>
    </xf>
    <xf numFmtId="9" fontId="0" fillId="0" borderId="76" xfId="2" applyFont="1" applyFill="1" applyBorder="1" applyAlignment="1">
      <alignment horizontal="center" vertical="top" wrapText="1"/>
    </xf>
    <xf numFmtId="0" fontId="0" fillId="0" borderId="5" xfId="0" applyBorder="1" applyAlignment="1">
      <alignment wrapText="1"/>
    </xf>
    <xf numFmtId="0" fontId="32" fillId="0" borderId="1" xfId="0" applyFont="1" applyBorder="1" applyAlignment="1">
      <alignment vertical="top"/>
    </xf>
    <xf numFmtId="0" fontId="4" fillId="0" borderId="5" xfId="0" applyFont="1" applyBorder="1" applyAlignment="1">
      <alignment horizontal="right" vertical="center" wrapText="1"/>
    </xf>
    <xf numFmtId="0" fontId="4" fillId="0" borderId="2" xfId="0" applyFont="1" applyBorder="1" applyAlignment="1">
      <alignment horizontal="center" vertical="center"/>
    </xf>
    <xf numFmtId="9" fontId="4" fillId="28" borderId="5" xfId="2" applyFont="1" applyFill="1" applyBorder="1" applyAlignment="1">
      <alignment horizontal="center" vertical="center" wrapText="1"/>
    </xf>
    <xf numFmtId="9" fontId="0" fillId="0" borderId="8" xfId="2" applyFont="1" applyFill="1" applyBorder="1" applyAlignment="1">
      <alignment horizontal="center" vertical="top" wrapText="1"/>
    </xf>
    <xf numFmtId="9" fontId="0" fillId="0" borderId="10" xfId="2" applyFont="1" applyFill="1" applyBorder="1" applyAlignment="1">
      <alignment horizontal="center" vertical="top" wrapText="1"/>
    </xf>
    <xf numFmtId="0" fontId="4" fillId="0" borderId="4" xfId="0" applyFont="1" applyBorder="1" applyAlignment="1">
      <alignment wrapText="1"/>
    </xf>
    <xf numFmtId="0" fontId="32" fillId="0" borderId="13" xfId="0" applyFont="1" applyBorder="1" applyAlignment="1">
      <alignment horizontal="left" vertical="center" wrapText="1"/>
    </xf>
    <xf numFmtId="0" fontId="32" fillId="0" borderId="13" xfId="0" applyFont="1" applyBorder="1" applyAlignment="1">
      <alignment horizontal="center" vertical="center" wrapText="1"/>
    </xf>
    <xf numFmtId="0" fontId="109" fillId="0" borderId="13" xfId="0" applyFont="1" applyBorder="1" applyAlignment="1">
      <alignment horizontal="center" vertical="center" wrapText="1"/>
    </xf>
    <xf numFmtId="9" fontId="4" fillId="28" borderId="13" xfId="2" applyFont="1" applyFill="1" applyBorder="1" applyAlignment="1">
      <alignment horizontal="center" vertical="center" wrapText="1"/>
    </xf>
    <xf numFmtId="0" fontId="0" fillId="0" borderId="4" xfId="0" applyBorder="1" applyAlignment="1">
      <alignment vertical="top" wrapText="1"/>
    </xf>
    <xf numFmtId="0" fontId="8" fillId="0" borderId="13" xfId="0" applyFont="1" applyBorder="1" applyAlignment="1">
      <alignment horizontal="center" vertical="top" wrapText="1"/>
    </xf>
    <xf numFmtId="9" fontId="4" fillId="28" borderId="13" xfId="2" applyFont="1" applyFill="1" applyBorder="1" applyAlignment="1">
      <alignment horizontal="center" vertical="top" wrapText="1"/>
    </xf>
    <xf numFmtId="0" fontId="0" fillId="0" borderId="99" xfId="0" applyBorder="1" applyAlignment="1">
      <alignment horizontal="left" vertical="center" wrapText="1"/>
    </xf>
    <xf numFmtId="3" fontId="0" fillId="0" borderId="99" xfId="0" applyNumberFormat="1" applyBorder="1" applyAlignment="1">
      <alignment horizontal="center" vertical="top"/>
    </xf>
    <xf numFmtId="9" fontId="0" fillId="0" borderId="78" xfId="2" applyFont="1" applyFill="1" applyBorder="1" applyAlignment="1">
      <alignment horizontal="center" vertical="top" wrapText="1"/>
    </xf>
    <xf numFmtId="9" fontId="0" fillId="0" borderId="89" xfId="2" applyFont="1" applyFill="1" applyBorder="1" applyAlignment="1">
      <alignment horizontal="center" vertical="top" wrapText="1"/>
    </xf>
    <xf numFmtId="3" fontId="8" fillId="0" borderId="99" xfId="0" applyNumberFormat="1" applyFont="1" applyBorder="1" applyAlignment="1">
      <alignment horizontal="center" vertical="top"/>
    </xf>
    <xf numFmtId="3" fontId="8" fillId="5" borderId="99" xfId="0" applyNumberFormat="1" applyFont="1" applyFill="1" applyBorder="1" applyAlignment="1">
      <alignment horizontal="center" vertical="top"/>
    </xf>
    <xf numFmtId="9" fontId="0" fillId="0" borderId="88" xfId="2" applyFont="1" applyFill="1" applyBorder="1" applyAlignment="1">
      <alignment horizontal="center" vertical="top" wrapText="1"/>
    </xf>
    <xf numFmtId="3" fontId="77" fillId="0" borderId="99" xfId="0" applyNumberFormat="1" applyFont="1" applyBorder="1" applyAlignment="1">
      <alignment horizontal="center" vertical="top"/>
    </xf>
    <xf numFmtId="9" fontId="3" fillId="0" borderId="0" xfId="2" applyFont="1" applyAlignment="1">
      <alignment vertical="top" wrapText="1"/>
    </xf>
    <xf numFmtId="0" fontId="0" fillId="0" borderId="101" xfId="0" applyBorder="1" applyAlignment="1">
      <alignment horizontal="left" vertical="center" wrapText="1"/>
    </xf>
    <xf numFmtId="3" fontId="0" fillId="0" borderId="101" xfId="0" applyNumberFormat="1" applyBorder="1" applyAlignment="1">
      <alignment horizontal="center" vertical="top"/>
    </xf>
    <xf numFmtId="0" fontId="4" fillId="0" borderId="1" xfId="0" applyFont="1" applyBorder="1" applyAlignment="1">
      <alignment wrapText="1"/>
    </xf>
    <xf numFmtId="0" fontId="32" fillId="0" borderId="90" xfId="0" applyFont="1" applyBorder="1" applyAlignment="1">
      <alignment vertical="top"/>
    </xf>
    <xf numFmtId="3" fontId="32" fillId="0" borderId="90" xfId="0" applyNumberFormat="1" applyFont="1" applyBorder="1" applyAlignment="1">
      <alignment horizontal="center" vertical="center"/>
    </xf>
    <xf numFmtId="0" fontId="4" fillId="0" borderId="13" xfId="0" applyFont="1" applyBorder="1" applyAlignment="1">
      <alignment horizontal="center" vertical="center" wrapText="1"/>
    </xf>
    <xf numFmtId="9" fontId="4" fillId="28" borderId="37" xfId="2" applyFont="1" applyFill="1" applyBorder="1" applyAlignment="1">
      <alignment horizontal="center" vertical="center" wrapText="1"/>
    </xf>
    <xf numFmtId="0" fontId="4" fillId="0" borderId="14" xfId="0" applyFont="1" applyBorder="1" applyAlignment="1">
      <alignment vertical="center" wrapText="1"/>
    </xf>
    <xf numFmtId="0" fontId="65" fillId="6" borderId="65" xfId="0" applyFont="1" applyFill="1" applyBorder="1" applyAlignment="1">
      <alignment horizontal="center" vertical="center" wrapText="1"/>
    </xf>
    <xf numFmtId="41" fontId="65" fillId="6" borderId="65" xfId="0" applyNumberFormat="1" applyFont="1" applyFill="1" applyBorder="1" applyAlignment="1">
      <alignment horizontal="center" vertical="center" wrapText="1"/>
    </xf>
    <xf numFmtId="0" fontId="20" fillId="6" borderId="0" xfId="0" applyFont="1" applyFill="1" applyAlignment="1">
      <alignment vertical="center" wrapText="1"/>
    </xf>
    <xf numFmtId="0" fontId="61" fillId="0" borderId="106" xfId="0" applyFont="1" applyBorder="1" applyAlignment="1">
      <alignment horizontal="left" vertical="top" wrapText="1"/>
    </xf>
    <xf numFmtId="0" fontId="19" fillId="0" borderId="106" xfId="0" applyFont="1" applyBorder="1" applyAlignment="1">
      <alignment horizontal="center" vertical="top" wrapText="1"/>
    </xf>
    <xf numFmtId="9" fontId="19" fillId="0" borderId="106" xfId="2" applyFont="1" applyBorder="1" applyAlignment="1">
      <alignment horizontal="center" vertical="top"/>
    </xf>
    <xf numFmtId="9" fontId="19" fillId="5" borderId="106" xfId="2" applyFont="1" applyFill="1" applyBorder="1" applyAlignment="1">
      <alignment horizontal="center" vertical="top" wrapText="1"/>
    </xf>
    <xf numFmtId="3" fontId="19" fillId="0" borderId="106" xfId="0" applyNumberFormat="1" applyFont="1" applyBorder="1" applyAlignment="1">
      <alignment vertical="top" wrapText="1"/>
    </xf>
    <xf numFmtId="3" fontId="19" fillId="0" borderId="106" xfId="0" applyNumberFormat="1" applyFont="1" applyBorder="1" applyAlignment="1">
      <alignment horizontal="center" vertical="top"/>
    </xf>
    <xf numFmtId="168" fontId="19" fillId="5" borderId="106" xfId="1" applyNumberFormat="1" applyFont="1" applyFill="1" applyBorder="1" applyAlignment="1">
      <alignment horizontal="center" vertical="top" wrapText="1"/>
    </xf>
    <xf numFmtId="0" fontId="19" fillId="0" borderId="106" xfId="0" applyFont="1" applyBorder="1" applyAlignment="1">
      <alignment horizontal="left" vertical="top" wrapText="1"/>
    </xf>
    <xf numFmtId="0" fontId="26" fillId="0" borderId="106" xfId="0" applyFont="1" applyBorder="1" applyAlignment="1">
      <alignment horizontal="center" vertical="top"/>
    </xf>
    <xf numFmtId="0" fontId="19" fillId="5" borderId="106" xfId="0" applyFont="1" applyFill="1" applyBorder="1" applyAlignment="1">
      <alignment horizontal="center" vertical="top" wrapText="1"/>
    </xf>
    <xf numFmtId="0" fontId="19" fillId="0" borderId="106" xfId="0" applyFont="1" applyBorder="1" applyAlignment="1">
      <alignment vertical="top" wrapText="1"/>
    </xf>
    <xf numFmtId="0" fontId="61" fillId="5" borderId="106" xfId="0" applyFont="1" applyFill="1" applyBorder="1" applyAlignment="1">
      <alignment vertical="top" wrapText="1"/>
    </xf>
    <xf numFmtId="0" fontId="26" fillId="0" borderId="106" xfId="0" applyFont="1" applyBorder="1" applyAlignment="1">
      <alignment horizontal="center" vertical="top" wrapText="1"/>
    </xf>
    <xf numFmtId="9" fontId="26" fillId="0" borderId="106" xfId="2" applyFont="1" applyBorder="1" applyAlignment="1">
      <alignment horizontal="center" vertical="top"/>
    </xf>
    <xf numFmtId="0" fontId="19" fillId="5" borderId="106" xfId="0" applyFont="1" applyFill="1" applyBorder="1" applyAlignment="1">
      <alignment vertical="top" wrapText="1"/>
    </xf>
    <xf numFmtId="0" fontId="67" fillId="5" borderId="106" xfId="0" applyFont="1" applyFill="1" applyBorder="1" applyAlignment="1">
      <alignment vertical="top" wrapText="1"/>
    </xf>
    <xf numFmtId="0" fontId="30" fillId="5" borderId="106" xfId="0" applyFont="1" applyFill="1" applyBorder="1" applyAlignment="1">
      <alignment horizontal="center" vertical="top" wrapText="1"/>
    </xf>
    <xf numFmtId="3" fontId="30" fillId="5" borderId="106" xfId="0" applyNumberFormat="1" applyFont="1" applyFill="1" applyBorder="1" applyAlignment="1">
      <alignment horizontal="center" vertical="top" wrapText="1"/>
    </xf>
    <xf numFmtId="9" fontId="30" fillId="5" borderId="106" xfId="2" applyFont="1" applyFill="1" applyBorder="1" applyAlignment="1">
      <alignment horizontal="center" vertical="top" wrapText="1"/>
    </xf>
    <xf numFmtId="0" fontId="30" fillId="5" borderId="106" xfId="0" applyFont="1" applyFill="1" applyBorder="1" applyAlignment="1">
      <alignment horizontal="left" vertical="top" wrapText="1"/>
    </xf>
    <xf numFmtId="0" fontId="30" fillId="5" borderId="106" xfId="0" applyFont="1" applyFill="1" applyBorder="1" applyAlignment="1">
      <alignment vertical="top" wrapText="1"/>
    </xf>
    <xf numFmtId="0" fontId="30" fillId="5" borderId="0" xfId="0" applyFont="1" applyFill="1" applyAlignment="1">
      <alignment vertical="top" wrapText="1"/>
    </xf>
    <xf numFmtId="0" fontId="30" fillId="5" borderId="105" xfId="0" applyFont="1" applyFill="1" applyBorder="1" applyAlignment="1">
      <alignment vertical="top" wrapText="1"/>
    </xf>
    <xf numFmtId="9" fontId="30" fillId="5" borderId="105" xfId="2" applyFont="1" applyFill="1" applyBorder="1" applyAlignment="1">
      <alignment horizontal="center" vertical="top" wrapText="1"/>
    </xf>
    <xf numFmtId="0" fontId="30" fillId="5" borderId="105" xfId="0" applyFont="1" applyFill="1" applyBorder="1" applyAlignment="1">
      <alignment horizontal="left" vertical="top" wrapText="1"/>
    </xf>
    <xf numFmtId="0" fontId="19" fillId="0" borderId="1" xfId="0" applyFont="1" applyBorder="1" applyAlignment="1">
      <alignment horizontal="right" vertical="top" wrapText="1"/>
    </xf>
    <xf numFmtId="0" fontId="19" fillId="0" borderId="5" xfId="0" applyFont="1" applyBorder="1" applyAlignment="1">
      <alignment vertical="top" wrapText="1"/>
    </xf>
    <xf numFmtId="0" fontId="20" fillId="0" borderId="2" xfId="0" applyFont="1" applyBorder="1" applyAlignment="1">
      <alignment horizontal="right" vertical="top" wrapText="1"/>
    </xf>
    <xf numFmtId="0" fontId="19" fillId="0" borderId="5" xfId="0" applyFont="1" applyBorder="1" applyAlignment="1">
      <alignment horizontal="center" vertical="top" wrapText="1"/>
    </xf>
    <xf numFmtId="0" fontId="19" fillId="0" borderId="2" xfId="0" applyFont="1" applyBorder="1" applyAlignment="1">
      <alignment vertical="top" wrapText="1"/>
    </xf>
    <xf numFmtId="9" fontId="20" fillId="0" borderId="2" xfId="0" applyNumberFormat="1" applyFont="1" applyBorder="1" applyAlignment="1">
      <alignment horizontal="center" vertical="top" wrapText="1"/>
    </xf>
    <xf numFmtId="0" fontId="63" fillId="5" borderId="12" xfId="0" applyFont="1" applyFill="1" applyBorder="1" applyAlignment="1">
      <alignment horizontal="left" vertical="top" wrapText="1"/>
    </xf>
    <xf numFmtId="0" fontId="8" fillId="0" borderId="12" xfId="0" applyFont="1" applyBorder="1" applyAlignment="1">
      <alignment horizontal="center" vertical="top" wrapText="1"/>
    </xf>
    <xf numFmtId="0" fontId="23" fillId="0" borderId="12" xfId="0" applyFont="1" applyBorder="1" applyAlignment="1">
      <alignment horizontal="left" vertical="top" wrapText="1"/>
    </xf>
    <xf numFmtId="0" fontId="36" fillId="4" borderId="4" xfId="0" applyFont="1" applyFill="1" applyBorder="1" applyAlignment="1">
      <alignment horizontal="center" vertical="center" wrapText="1"/>
    </xf>
    <xf numFmtId="0" fontId="36" fillId="4" borderId="13" xfId="0" applyFont="1" applyFill="1" applyBorder="1" applyAlignment="1">
      <alignment horizontal="center" vertical="center" wrapText="1"/>
    </xf>
    <xf numFmtId="0" fontId="65" fillId="4" borderId="14" xfId="0" applyFont="1" applyFill="1" applyBorder="1" applyAlignment="1">
      <alignment horizontal="center" vertical="center" wrapText="1"/>
    </xf>
    <xf numFmtId="0" fontId="107" fillId="0" borderId="65" xfId="0" applyFont="1" applyBorder="1" applyAlignment="1">
      <alignment horizontal="left" vertical="top" wrapText="1"/>
    </xf>
    <xf numFmtId="0" fontId="17" fillId="0" borderId="65" xfId="0" applyFont="1" applyBorder="1" applyAlignment="1">
      <alignment horizontal="center" vertical="top" wrapText="1"/>
    </xf>
    <xf numFmtId="41" fontId="36" fillId="0" borderId="65" xfId="0" applyNumberFormat="1" applyFont="1" applyBorder="1" applyAlignment="1">
      <alignment horizontal="center" vertical="top" wrapText="1"/>
    </xf>
    <xf numFmtId="0" fontId="36" fillId="0" borderId="65" xfId="0" applyFont="1" applyBorder="1" applyAlignment="1">
      <alignment horizontal="center" vertical="top" wrapText="1"/>
    </xf>
    <xf numFmtId="0" fontId="61" fillId="0" borderId="65" xfId="0" applyFont="1" applyBorder="1" applyAlignment="1">
      <alignment horizontal="left" vertical="top" wrapText="1"/>
    </xf>
    <xf numFmtId="0" fontId="107" fillId="0" borderId="106" xfId="0" applyFont="1" applyBorder="1" applyAlignment="1">
      <alignment horizontal="left" vertical="top" wrapText="1"/>
    </xf>
    <xf numFmtId="0" fontId="17" fillId="0" borderId="106" xfId="0" applyFont="1" applyBorder="1" applyAlignment="1">
      <alignment horizontal="center" vertical="top" wrapText="1"/>
    </xf>
    <xf numFmtId="3" fontId="17" fillId="0" borderId="106" xfId="0" applyNumberFormat="1" applyFont="1" applyBorder="1" applyAlignment="1">
      <alignment horizontal="center" vertical="top"/>
    </xf>
    <xf numFmtId="3" fontId="17" fillId="5" borderId="106" xfId="0" applyNumberFormat="1" applyFont="1" applyFill="1" applyBorder="1" applyAlignment="1">
      <alignment horizontal="center" vertical="top" wrapText="1"/>
    </xf>
    <xf numFmtId="9" fontId="17" fillId="5" borderId="106" xfId="2" applyFont="1" applyFill="1" applyBorder="1" applyAlignment="1">
      <alignment horizontal="center" vertical="top" wrapText="1"/>
    </xf>
    <xf numFmtId="0" fontId="17" fillId="5" borderId="106" xfId="0" applyFont="1" applyFill="1" applyBorder="1" applyAlignment="1">
      <alignment horizontal="center" vertical="top" wrapText="1"/>
    </xf>
    <xf numFmtId="0" fontId="107" fillId="5" borderId="106" xfId="0" applyFont="1" applyFill="1" applyBorder="1" applyAlignment="1">
      <alignment horizontal="left" vertical="top" wrapText="1"/>
    </xf>
    <xf numFmtId="3" fontId="61" fillId="0" borderId="106" xfId="0" applyNumberFormat="1" applyFont="1" applyBorder="1" applyAlignment="1">
      <alignment vertical="top" wrapText="1"/>
    </xf>
    <xf numFmtId="0" fontId="84" fillId="0" borderId="106" xfId="0" applyFont="1" applyBorder="1" applyAlignment="1">
      <alignment horizontal="center" vertical="top"/>
    </xf>
    <xf numFmtId="0" fontId="107" fillId="0" borderId="105" xfId="0" applyFont="1" applyBorder="1" applyAlignment="1">
      <alignment horizontal="left" vertical="top" wrapText="1"/>
    </xf>
    <xf numFmtId="0" fontId="84" fillId="0" borderId="106" xfId="0" applyFont="1" applyBorder="1" applyAlignment="1">
      <alignment horizontal="center" vertical="top" wrapText="1"/>
    </xf>
    <xf numFmtId="0" fontId="61" fillId="5" borderId="105" xfId="0" applyFont="1" applyFill="1" applyBorder="1" applyAlignment="1">
      <alignment vertical="top" wrapText="1"/>
    </xf>
    <xf numFmtId="0" fontId="17" fillId="10" borderId="105" xfId="0" applyFont="1" applyFill="1" applyBorder="1" applyAlignment="1">
      <alignment horizontal="center" vertical="top" wrapText="1"/>
    </xf>
    <xf numFmtId="3" fontId="17" fillId="0" borderId="105" xfId="0" applyNumberFormat="1" applyFont="1" applyBorder="1" applyAlignment="1">
      <alignment horizontal="center" vertical="top" wrapText="1"/>
    </xf>
    <xf numFmtId="3" fontId="17" fillId="5" borderId="105" xfId="0" applyNumberFormat="1" applyFont="1" applyFill="1" applyBorder="1" applyAlignment="1">
      <alignment horizontal="center" vertical="top" wrapText="1"/>
    </xf>
    <xf numFmtId="9" fontId="17" fillId="5" borderId="105" xfId="2" applyFont="1" applyFill="1" applyBorder="1" applyAlignment="1">
      <alignment horizontal="center" vertical="top" wrapText="1"/>
    </xf>
    <xf numFmtId="0" fontId="17" fillId="5" borderId="105" xfId="0" applyFont="1" applyFill="1" applyBorder="1" applyAlignment="1">
      <alignment vertical="top" wrapText="1"/>
    </xf>
    <xf numFmtId="0" fontId="19" fillId="0" borderId="105" xfId="0" applyFont="1" applyBorder="1" applyAlignment="1">
      <alignment horizontal="left" vertical="top" wrapText="1"/>
    </xf>
    <xf numFmtId="0" fontId="60" fillId="0" borderId="1" xfId="0" applyFont="1" applyBorder="1" applyAlignment="1">
      <alignment horizontal="center" vertical="top" wrapText="1"/>
    </xf>
    <xf numFmtId="0" fontId="36" fillId="0" borderId="5" xfId="0" applyFont="1" applyBorder="1" applyAlignment="1">
      <alignment horizontal="left" vertical="top" wrapText="1"/>
    </xf>
    <xf numFmtId="0" fontId="65" fillId="5" borderId="2" xfId="0" applyFont="1" applyFill="1" applyBorder="1" applyAlignment="1">
      <alignment horizontal="right" vertical="top" wrapText="1"/>
    </xf>
    <xf numFmtId="3" fontId="83" fillId="0" borderId="2" xfId="0" applyNumberFormat="1" applyFont="1" applyBorder="1" applyAlignment="1">
      <alignment horizontal="center" vertical="top" wrapText="1"/>
    </xf>
    <xf numFmtId="3" fontId="83" fillId="5" borderId="5" xfId="0" applyNumberFormat="1" applyFont="1" applyFill="1" applyBorder="1" applyAlignment="1">
      <alignment horizontal="center" vertical="top" wrapText="1"/>
    </xf>
    <xf numFmtId="9" fontId="83" fillId="29" borderId="2" xfId="2" applyFont="1" applyFill="1" applyBorder="1" applyAlignment="1">
      <alignment horizontal="center" vertical="top" wrapText="1"/>
    </xf>
    <xf numFmtId="0" fontId="83" fillId="5" borderId="2" xfId="0" applyFont="1" applyFill="1" applyBorder="1" applyAlignment="1">
      <alignment vertical="top" wrapText="1"/>
    </xf>
    <xf numFmtId="0" fontId="20" fillId="0" borderId="5" xfId="0" applyFont="1" applyBorder="1" applyAlignment="1">
      <alignment horizontal="left" vertical="top" wrapText="1"/>
    </xf>
    <xf numFmtId="41" fontId="36" fillId="4" borderId="16" xfId="0" applyNumberFormat="1" applyFont="1" applyFill="1" applyBorder="1" applyAlignment="1">
      <alignment horizontal="center" vertical="center" wrapText="1"/>
    </xf>
    <xf numFmtId="41" fontId="36" fillId="4" borderId="13" xfId="0" applyNumberFormat="1" applyFont="1" applyFill="1" applyBorder="1" applyAlignment="1">
      <alignment horizontal="center" vertical="center" wrapText="1"/>
    </xf>
    <xf numFmtId="0" fontId="61" fillId="5" borderId="89" xfId="0" applyFont="1" applyFill="1" applyBorder="1" applyAlignment="1">
      <alignment vertical="top" wrapText="1"/>
    </xf>
    <xf numFmtId="0" fontId="17" fillId="10" borderId="106" xfId="0" applyFont="1" applyFill="1" applyBorder="1" applyAlignment="1">
      <alignment horizontal="center" vertical="top" wrapText="1"/>
    </xf>
    <xf numFmtId="3" fontId="17" fillId="0" borderId="106" xfId="0" applyNumberFormat="1" applyFont="1" applyBorder="1" applyAlignment="1">
      <alignment horizontal="center" vertical="top" wrapText="1"/>
    </xf>
    <xf numFmtId="9" fontId="17" fillId="5" borderId="107" xfId="2" applyFont="1" applyFill="1" applyBorder="1" applyAlignment="1">
      <alignment horizontal="center" vertical="top" wrapText="1"/>
    </xf>
    <xf numFmtId="9" fontId="17" fillId="5" borderId="65" xfId="2" applyFont="1" applyFill="1" applyBorder="1" applyAlignment="1">
      <alignment horizontal="center" vertical="top" wrapText="1"/>
    </xf>
    <xf numFmtId="0" fontId="19" fillId="0" borderId="65" xfId="0" applyFont="1" applyBorder="1" applyAlignment="1">
      <alignment horizontal="left" vertical="top" wrapText="1"/>
    </xf>
    <xf numFmtId="0" fontId="61" fillId="5" borderId="80" xfId="0" applyFont="1" applyFill="1" applyBorder="1" applyAlignment="1">
      <alignment vertical="top" wrapText="1"/>
    </xf>
    <xf numFmtId="9" fontId="17" fillId="5" borderId="108" xfId="2" applyFont="1" applyFill="1" applyBorder="1" applyAlignment="1">
      <alignment horizontal="center" vertical="top" wrapText="1"/>
    </xf>
    <xf numFmtId="0" fontId="84" fillId="0" borderId="76" xfId="0" applyFont="1" applyBorder="1" applyAlignment="1">
      <alignment horizontal="center" vertical="top" wrapText="1"/>
    </xf>
    <xf numFmtId="0" fontId="107" fillId="0" borderId="12" xfId="0" applyFont="1" applyBorder="1" applyAlignment="1">
      <alignment vertical="top" wrapText="1"/>
    </xf>
    <xf numFmtId="0" fontId="61" fillId="5" borderId="82" xfId="0" applyFont="1" applyFill="1" applyBorder="1" applyAlignment="1">
      <alignment vertical="top" wrapText="1"/>
    </xf>
    <xf numFmtId="9" fontId="17" fillId="5" borderId="9" xfId="2" applyFont="1" applyFill="1" applyBorder="1" applyAlignment="1">
      <alignment horizontal="center" vertical="top" wrapText="1"/>
    </xf>
    <xf numFmtId="0" fontId="36" fillId="0" borderId="13" xfId="0" applyFont="1" applyBorder="1" applyAlignment="1">
      <alignment vertical="top" wrapText="1"/>
    </xf>
    <xf numFmtId="0" fontId="83" fillId="10" borderId="13" xfId="0" applyFont="1" applyFill="1" applyBorder="1" applyAlignment="1">
      <alignment horizontal="center" vertical="top" wrapText="1"/>
    </xf>
    <xf numFmtId="3" fontId="83" fillId="0" borderId="13" xfId="0" applyNumberFormat="1" applyFont="1" applyBorder="1" applyAlignment="1">
      <alignment horizontal="center" vertical="top" wrapText="1"/>
    </xf>
    <xf numFmtId="9" fontId="83" fillId="5" borderId="2" xfId="2" applyFont="1" applyFill="1" applyBorder="1" applyAlignment="1">
      <alignment horizontal="center" vertical="top" wrapText="1"/>
    </xf>
    <xf numFmtId="0" fontId="20" fillId="0" borderId="3" xfId="0" applyFont="1" applyBorder="1" applyAlignment="1">
      <alignment horizontal="left" vertical="top" wrapText="1"/>
    </xf>
    <xf numFmtId="1" fontId="107" fillId="0" borderId="106" xfId="0" applyNumberFormat="1" applyFont="1" applyBorder="1" applyAlignment="1">
      <alignment horizontal="center" vertical="top" wrapText="1"/>
    </xf>
    <xf numFmtId="41" fontId="36" fillId="0" borderId="106" xfId="0" applyNumberFormat="1" applyFont="1" applyBorder="1" applyAlignment="1">
      <alignment horizontal="center" vertical="top" wrapText="1"/>
    </xf>
    <xf numFmtId="0" fontId="36" fillId="0" borderId="106" xfId="0" applyFont="1" applyBorder="1" applyAlignment="1">
      <alignment horizontal="center" vertical="top" wrapText="1"/>
    </xf>
    <xf numFmtId="1" fontId="107" fillId="0" borderId="105" xfId="0" applyNumberFormat="1" applyFont="1" applyBorder="1" applyAlignment="1">
      <alignment horizontal="center" vertical="top" wrapText="1"/>
    </xf>
    <xf numFmtId="41" fontId="36" fillId="0" borderId="105" xfId="0" applyNumberFormat="1" applyFont="1" applyBorder="1" applyAlignment="1">
      <alignment horizontal="center" vertical="top" wrapText="1"/>
    </xf>
    <xf numFmtId="0" fontId="36" fillId="0" borderId="105" xfId="0" applyFont="1" applyBorder="1" applyAlignment="1">
      <alignment horizontal="center" vertical="top" wrapText="1"/>
    </xf>
    <xf numFmtId="0" fontId="61" fillId="0" borderId="105" xfId="0" applyFont="1" applyBorder="1" applyAlignment="1">
      <alignment horizontal="left" vertical="top" wrapText="1"/>
    </xf>
    <xf numFmtId="9" fontId="17" fillId="5" borderId="1" xfId="2" applyFont="1" applyFill="1" applyBorder="1" applyAlignment="1">
      <alignment horizontal="center" vertical="top" wrapText="1"/>
    </xf>
    <xf numFmtId="9" fontId="17" fillId="5" borderId="13" xfId="2" applyFont="1" applyFill="1" applyBorder="1" applyAlignment="1">
      <alignment horizontal="center" vertical="top" wrapText="1"/>
    </xf>
    <xf numFmtId="9" fontId="102" fillId="5" borderId="13" xfId="2" applyFont="1" applyFill="1" applyBorder="1" applyAlignment="1">
      <alignment vertical="top" wrapText="1"/>
    </xf>
    <xf numFmtId="9" fontId="103" fillId="5" borderId="13" xfId="2" applyFont="1" applyFill="1" applyBorder="1" applyAlignment="1">
      <alignment vertical="top" wrapText="1"/>
    </xf>
    <xf numFmtId="9" fontId="19" fillId="5" borderId="14" xfId="2" applyFont="1" applyFill="1" applyBorder="1" applyAlignment="1">
      <alignment horizontal="center" vertical="top" wrapText="1"/>
    </xf>
    <xf numFmtId="0" fontId="116" fillId="0" borderId="106" xfId="0" applyFont="1" applyBorder="1" applyAlignment="1">
      <alignment horizontal="left" vertical="top" wrapText="1"/>
    </xf>
    <xf numFmtId="0" fontId="116" fillId="0" borderId="106" xfId="0" applyFont="1" applyBorder="1" applyAlignment="1">
      <alignment horizontal="center" vertical="top"/>
    </xf>
    <xf numFmtId="0" fontId="116" fillId="5" borderId="106" xfId="0" applyFont="1" applyFill="1" applyBorder="1" applyAlignment="1">
      <alignment horizontal="center" vertical="top" wrapText="1"/>
    </xf>
    <xf numFmtId="9" fontId="118" fillId="5" borderId="106" xfId="2" applyFont="1" applyFill="1" applyBorder="1" applyAlignment="1">
      <alignment horizontal="center" vertical="top" wrapText="1"/>
    </xf>
    <xf numFmtId="0" fontId="116" fillId="5" borderId="106" xfId="0" applyFont="1" applyFill="1" applyBorder="1" applyAlignment="1">
      <alignment vertical="top" wrapText="1"/>
    </xf>
    <xf numFmtId="3" fontId="116" fillId="0" borderId="106" xfId="0" applyNumberFormat="1" applyFont="1" applyBorder="1" applyAlignment="1">
      <alignment horizontal="center" vertical="top"/>
    </xf>
    <xf numFmtId="3" fontId="119" fillId="0" borderId="106" xfId="0" applyNumberFormat="1" applyFont="1" applyBorder="1" applyAlignment="1">
      <alignment horizontal="center" vertical="top"/>
    </xf>
    <xf numFmtId="0" fontId="117" fillId="5" borderId="106" xfId="0" applyFont="1" applyFill="1" applyBorder="1" applyAlignment="1">
      <alignment horizontal="left" vertical="top" wrapText="1"/>
    </xf>
    <xf numFmtId="0" fontId="116" fillId="5" borderId="106" xfId="0" applyFont="1" applyFill="1" applyBorder="1" applyAlignment="1">
      <alignment horizontal="left" vertical="top" wrapText="1"/>
    </xf>
    <xf numFmtId="0" fontId="116" fillId="5" borderId="106" xfId="0" applyFont="1" applyFill="1" applyBorder="1" applyAlignment="1">
      <alignment horizontal="center" vertical="top"/>
    </xf>
    <xf numFmtId="0" fontId="119" fillId="5" borderId="106" xfId="0" applyFont="1" applyFill="1" applyBorder="1" applyAlignment="1">
      <alignment horizontal="left" vertical="top" wrapText="1"/>
    </xf>
    <xf numFmtId="0" fontId="119" fillId="5" borderId="106" xfId="0" applyFont="1" applyFill="1" applyBorder="1" applyAlignment="1">
      <alignment horizontal="center" vertical="top"/>
    </xf>
    <xf numFmtId="0" fontId="117" fillId="5" borderId="106" xfId="0" applyFont="1" applyFill="1" applyBorder="1" applyAlignment="1">
      <alignment horizontal="center" vertical="top"/>
    </xf>
    <xf numFmtId="0" fontId="0" fillId="5" borderId="106" xfId="0" applyFill="1" applyBorder="1" applyAlignment="1">
      <alignment horizontal="center" vertical="top" wrapText="1"/>
    </xf>
    <xf numFmtId="0" fontId="0" fillId="5" borderId="105" xfId="0" applyFill="1" applyBorder="1" applyAlignment="1">
      <alignment horizontal="center" vertical="top" wrapText="1"/>
    </xf>
    <xf numFmtId="9" fontId="0" fillId="0" borderId="0" xfId="2" applyFont="1"/>
    <xf numFmtId="0" fontId="0" fillId="0" borderId="18" xfId="0" applyBorder="1" applyAlignment="1">
      <alignment horizontal="center" vertical="top" wrapText="1"/>
    </xf>
    <xf numFmtId="164" fontId="22" fillId="0" borderId="10" xfId="1" applyFont="1" applyBorder="1" applyAlignment="1">
      <alignment horizontal="center" vertical="top"/>
    </xf>
    <xf numFmtId="0" fontId="35" fillId="0" borderId="0" xfId="0" applyFont="1"/>
    <xf numFmtId="0" fontId="64" fillId="5" borderId="6" xfId="0" applyFont="1" applyFill="1" applyBorder="1" applyAlignment="1">
      <alignment horizontal="center" vertical="top" wrapText="1"/>
    </xf>
    <xf numFmtId="167" fontId="63" fillId="5" borderId="6" xfId="1" applyNumberFormat="1" applyFont="1" applyFill="1" applyBorder="1" applyAlignment="1">
      <alignment horizontal="center" vertical="top" wrapText="1"/>
    </xf>
    <xf numFmtId="1" fontId="61" fillId="5" borderId="65" xfId="0" applyNumberFormat="1" applyFont="1" applyFill="1" applyBorder="1" applyAlignment="1">
      <alignment horizontal="center" vertical="top" wrapText="1"/>
    </xf>
    <xf numFmtId="165" fontId="64" fillId="5" borderId="20" xfId="2" applyNumberFormat="1" applyFont="1" applyFill="1" applyBorder="1" applyAlignment="1">
      <alignment horizontal="center" vertical="top"/>
    </xf>
    <xf numFmtId="0" fontId="38" fillId="5" borderId="12" xfId="0" applyFont="1" applyFill="1" applyBorder="1" applyAlignment="1">
      <alignment vertical="center" wrapText="1"/>
    </xf>
    <xf numFmtId="0" fontId="37" fillId="4" borderId="79" xfId="0" applyFont="1" applyFill="1" applyBorder="1" applyAlignment="1">
      <alignment horizontal="center" vertical="center" wrapText="1"/>
    </xf>
    <xf numFmtId="0" fontId="38" fillId="5" borderId="106" xfId="0" applyFont="1" applyFill="1" applyBorder="1" applyAlignment="1">
      <alignment vertical="center" wrapText="1"/>
    </xf>
    <xf numFmtId="167" fontId="38" fillId="5" borderId="6" xfId="1" applyNumberFormat="1" applyFont="1" applyFill="1" applyBorder="1" applyAlignment="1">
      <alignment horizontal="center" vertical="top" wrapText="1"/>
    </xf>
    <xf numFmtId="0" fontId="38" fillId="5" borderId="0" xfId="0" applyFont="1" applyFill="1" applyAlignment="1">
      <alignment vertical="top" wrapText="1"/>
    </xf>
    <xf numFmtId="165" fontId="122" fillId="5" borderId="10" xfId="2" applyNumberFormat="1" applyFont="1" applyFill="1" applyBorder="1" applyAlignment="1">
      <alignment horizontal="center" vertical="center"/>
    </xf>
    <xf numFmtId="0" fontId="122" fillId="5" borderId="6" xfId="0" applyFont="1" applyFill="1" applyBorder="1" applyAlignment="1">
      <alignment horizontal="left" vertical="center" wrapText="1"/>
    </xf>
    <xf numFmtId="167" fontId="39" fillId="5" borderId="6" xfId="1" applyNumberFormat="1" applyFont="1" applyFill="1" applyBorder="1" applyAlignment="1">
      <alignment horizontal="center" vertical="top" wrapText="1"/>
    </xf>
    <xf numFmtId="0" fontId="122" fillId="5" borderId="8" xfId="0" applyFont="1" applyFill="1" applyBorder="1" applyAlignment="1">
      <alignment horizontal="left" vertical="top" wrapText="1"/>
    </xf>
    <xf numFmtId="3" fontId="122" fillId="5" borderId="6" xfId="0" applyNumberFormat="1" applyFont="1" applyFill="1" applyBorder="1" applyAlignment="1">
      <alignment horizontal="center" vertical="top" wrapText="1"/>
    </xf>
    <xf numFmtId="165" fontId="122" fillId="5" borderId="6" xfId="2" applyNumberFormat="1" applyFont="1" applyFill="1" applyBorder="1" applyAlignment="1">
      <alignment horizontal="center" vertical="top"/>
    </xf>
    <xf numFmtId="167" fontId="122" fillId="5" borderId="6" xfId="1" applyNumberFormat="1" applyFont="1" applyFill="1" applyBorder="1" applyAlignment="1">
      <alignment horizontal="center" vertical="top" wrapText="1"/>
    </xf>
    <xf numFmtId="167" fontId="123" fillId="5" borderId="6" xfId="1" applyNumberFormat="1" applyFont="1" applyFill="1" applyBorder="1" applyAlignment="1">
      <alignment horizontal="center" vertical="top" wrapText="1"/>
    </xf>
    <xf numFmtId="164" fontId="0" fillId="0" borderId="0" xfId="1" applyFont="1"/>
    <xf numFmtId="165" fontId="109" fillId="6" borderId="13" xfId="2" applyNumberFormat="1" applyFont="1" applyFill="1" applyBorder="1" applyAlignment="1">
      <alignment horizontal="center" vertical="center"/>
    </xf>
    <xf numFmtId="0" fontId="8" fillId="5" borderId="106" xfId="0" applyFont="1" applyFill="1" applyBorder="1" applyAlignment="1">
      <alignment vertical="top" wrapText="1"/>
    </xf>
    <xf numFmtId="9" fontId="8" fillId="0" borderId="6" xfId="2" applyFont="1" applyBorder="1" applyAlignment="1">
      <alignment horizontal="center" vertical="top" wrapText="1"/>
    </xf>
    <xf numFmtId="165" fontId="8" fillId="0" borderId="6" xfId="2" applyNumberFormat="1" applyFont="1" applyBorder="1" applyAlignment="1">
      <alignment horizontal="center" vertical="top" wrapText="1"/>
    </xf>
    <xf numFmtId="0" fontId="3" fillId="0" borderId="12" xfId="0" applyFont="1" applyBorder="1" applyAlignment="1">
      <alignment horizontal="center" vertical="top" wrapText="1"/>
    </xf>
    <xf numFmtId="9" fontId="3" fillId="0" borderId="12" xfId="2" applyFont="1" applyFill="1" applyBorder="1" applyAlignment="1">
      <alignment horizontal="center" vertical="top" wrapText="1"/>
    </xf>
    <xf numFmtId="0" fontId="3" fillId="0" borderId="76" xfId="0" applyFont="1" applyBorder="1" applyAlignment="1">
      <alignment horizontal="left" vertical="top" wrapText="1"/>
    </xf>
    <xf numFmtId="0" fontId="22" fillId="12" borderId="19" xfId="0" applyFont="1" applyFill="1" applyBorder="1" applyAlignment="1">
      <alignment horizontal="center" vertical="top" wrapText="1"/>
    </xf>
    <xf numFmtId="0" fontId="23" fillId="12" borderId="20" xfId="0" applyFont="1" applyFill="1" applyBorder="1" applyAlignment="1">
      <alignment horizontal="left" vertical="top" wrapText="1"/>
    </xf>
    <xf numFmtId="0" fontId="22" fillId="12" borderId="20" xfId="0" applyFont="1" applyFill="1" applyBorder="1" applyAlignment="1">
      <alignment horizontal="left" vertical="top" wrapText="1"/>
    </xf>
    <xf numFmtId="0" fontId="22" fillId="12" borderId="20" xfId="0" applyFont="1" applyFill="1" applyBorder="1" applyAlignment="1">
      <alignment horizontal="center" vertical="top" wrapText="1"/>
    </xf>
    <xf numFmtId="0" fontId="22" fillId="12" borderId="20" xfId="0" applyFont="1" applyFill="1" applyBorder="1" applyAlignment="1">
      <alignment horizontal="center" vertical="top"/>
    </xf>
    <xf numFmtId="9" fontId="22" fillId="12" borderId="20" xfId="2" applyFont="1" applyFill="1" applyBorder="1" applyAlignment="1">
      <alignment horizontal="center" vertical="top" wrapText="1"/>
    </xf>
    <xf numFmtId="0" fontId="22" fillId="12" borderId="21" xfId="0" applyFont="1" applyFill="1" applyBorder="1" applyAlignment="1">
      <alignment vertical="top" wrapText="1"/>
    </xf>
    <xf numFmtId="0" fontId="24" fillId="12" borderId="0" xfId="0" applyFont="1" applyFill="1" applyAlignment="1">
      <alignment vertical="top" wrapText="1"/>
    </xf>
    <xf numFmtId="0" fontId="0" fillId="12" borderId="0" xfId="0" applyFill="1"/>
    <xf numFmtId="0" fontId="22" fillId="0" borderId="23" xfId="0" applyFont="1" applyBorder="1" applyAlignment="1">
      <alignment vertical="top" wrapText="1"/>
    </xf>
    <xf numFmtId="0" fontId="22" fillId="0" borderId="70" xfId="0" applyFont="1" applyBorder="1" applyAlignment="1">
      <alignment horizontal="center" vertical="top" wrapText="1"/>
    </xf>
    <xf numFmtId="0" fontId="22" fillId="0" borderId="12" xfId="0" applyFont="1" applyBorder="1" applyAlignment="1">
      <alignment horizontal="left" vertical="top" wrapText="1"/>
    </xf>
    <xf numFmtId="0" fontId="22" fillId="0" borderId="12" xfId="0" applyFont="1" applyBorder="1" applyAlignment="1">
      <alignment horizontal="center" vertical="top" wrapText="1"/>
    </xf>
    <xf numFmtId="9" fontId="22" fillId="0" borderId="12" xfId="2" applyFont="1" applyBorder="1" applyAlignment="1">
      <alignment horizontal="center" vertical="top" wrapText="1"/>
    </xf>
    <xf numFmtId="167" fontId="22" fillId="0" borderId="10" xfId="1" applyNumberFormat="1" applyFont="1" applyBorder="1" applyAlignment="1">
      <alignment horizontal="center" vertical="top"/>
    </xf>
    <xf numFmtId="164" fontId="22" fillId="0" borderId="12" xfId="1" applyFont="1" applyBorder="1" applyAlignment="1">
      <alignment horizontal="center" vertical="top" wrapText="1"/>
    </xf>
    <xf numFmtId="43" fontId="0" fillId="0" borderId="0" xfId="0" applyNumberFormat="1"/>
    <xf numFmtId="10" fontId="0" fillId="0" borderId="0" xfId="2" applyNumberFormat="1" applyFont="1"/>
    <xf numFmtId="165" fontId="19" fillId="0" borderId="6" xfId="2" applyNumberFormat="1" applyFont="1" applyBorder="1" applyAlignment="1">
      <alignment horizontal="center" vertical="top" wrapText="1"/>
    </xf>
    <xf numFmtId="9" fontId="19" fillId="0" borderId="0" xfId="0" applyNumberFormat="1" applyFont="1" applyAlignment="1">
      <alignment horizontal="center" vertical="top" wrapText="1"/>
    </xf>
    <xf numFmtId="165" fontId="28" fillId="0" borderId="20" xfId="2" applyNumberFormat="1" applyFont="1" applyBorder="1" applyAlignment="1">
      <alignment horizontal="center" vertical="top" wrapText="1"/>
    </xf>
    <xf numFmtId="9" fontId="28" fillId="0" borderId="20" xfId="2" applyFont="1" applyBorder="1" applyAlignment="1">
      <alignment horizontal="center" vertical="top" wrapText="1"/>
    </xf>
    <xf numFmtId="0" fontId="64" fillId="12" borderId="20" xfId="0" applyFont="1" applyFill="1" applyBorder="1" applyAlignment="1">
      <alignment horizontal="center" vertical="top" wrapText="1"/>
    </xf>
    <xf numFmtId="0" fontId="67" fillId="12" borderId="10" xfId="0" applyFont="1" applyFill="1" applyBorder="1" applyAlignment="1">
      <alignment horizontal="center" vertical="top" wrapText="1"/>
    </xf>
    <xf numFmtId="3" fontId="61" fillId="5" borderId="10" xfId="0" applyNumberFormat="1" applyFont="1" applyFill="1" applyBorder="1" applyAlignment="1">
      <alignment horizontal="center" vertical="top" wrapText="1"/>
    </xf>
    <xf numFmtId="166" fontId="63" fillId="5" borderId="6" xfId="0" applyNumberFormat="1" applyFont="1" applyFill="1" applyBorder="1" applyAlignment="1">
      <alignment horizontal="center" vertical="top" wrapText="1"/>
    </xf>
    <xf numFmtId="166" fontId="61" fillId="5" borderId="6" xfId="0" applyNumberFormat="1" applyFont="1" applyFill="1" applyBorder="1" applyAlignment="1">
      <alignment horizontal="center" vertical="top" wrapText="1"/>
    </xf>
    <xf numFmtId="0" fontId="58" fillId="30" borderId="89" xfId="0" applyFont="1" applyFill="1" applyBorder="1" applyAlignment="1">
      <alignment horizontal="center" vertical="center" wrapText="1"/>
    </xf>
    <xf numFmtId="0" fontId="127" fillId="30" borderId="107" xfId="0" applyFont="1" applyFill="1" applyBorder="1" applyAlignment="1">
      <alignment horizontal="center" vertical="center" wrapText="1"/>
    </xf>
    <xf numFmtId="0" fontId="125" fillId="0" borderId="73" xfId="0" applyFont="1" applyBorder="1" applyAlignment="1">
      <alignment vertical="center"/>
    </xf>
    <xf numFmtId="1" fontId="61" fillId="5" borderId="106" xfId="0" applyNumberFormat="1" applyFont="1" applyFill="1" applyBorder="1" applyAlignment="1">
      <alignment horizontal="center" vertical="top" wrapText="1"/>
    </xf>
    <xf numFmtId="3" fontId="67" fillId="5" borderId="106" xfId="0" applyNumberFormat="1" applyFont="1" applyFill="1" applyBorder="1" applyAlignment="1">
      <alignment horizontal="center" vertical="top" wrapText="1"/>
    </xf>
    <xf numFmtId="3" fontId="67" fillId="12" borderId="65" xfId="0" applyNumberFormat="1" applyFont="1" applyFill="1" applyBorder="1" applyAlignment="1">
      <alignment horizontal="center" vertical="top" wrapText="1"/>
    </xf>
    <xf numFmtId="0" fontId="61" fillId="5" borderId="106" xfId="0" applyFont="1" applyFill="1" applyBorder="1" applyAlignment="1">
      <alignment horizontal="left" vertical="top" wrapText="1"/>
    </xf>
    <xf numFmtId="3" fontId="64" fillId="5" borderId="6" xfId="0" applyNumberFormat="1" applyFont="1" applyFill="1" applyBorder="1" applyAlignment="1">
      <alignment horizontal="center" vertical="top" wrapText="1"/>
    </xf>
    <xf numFmtId="167" fontId="63" fillId="5" borderId="12" xfId="1" applyNumberFormat="1" applyFont="1" applyFill="1" applyBorder="1" applyAlignment="1">
      <alignment horizontal="center" vertical="top" wrapText="1"/>
    </xf>
    <xf numFmtId="167" fontId="72" fillId="5" borderId="6" xfId="1" applyNumberFormat="1" applyFont="1" applyFill="1" applyBorder="1" applyAlignment="1">
      <alignment horizontal="center" vertical="top" wrapText="1"/>
    </xf>
    <xf numFmtId="167" fontId="0" fillId="5" borderId="6" xfId="1" applyNumberFormat="1" applyFont="1" applyFill="1" applyBorder="1" applyAlignment="1">
      <alignment horizontal="center" vertical="top" wrapText="1"/>
    </xf>
    <xf numFmtId="1" fontId="64" fillId="5" borderId="6" xfId="1" applyNumberFormat="1" applyFont="1" applyFill="1" applyBorder="1" applyAlignment="1">
      <alignment horizontal="center" vertical="top" wrapText="1"/>
    </xf>
    <xf numFmtId="9" fontId="64" fillId="5" borderId="6" xfId="2" applyFont="1" applyFill="1" applyBorder="1" applyAlignment="1">
      <alignment horizontal="center" vertical="top"/>
    </xf>
    <xf numFmtId="0" fontId="64" fillId="5" borderId="6" xfId="0" applyFont="1" applyFill="1" applyBorder="1" applyAlignment="1">
      <alignment horizontal="left" vertical="top" wrapText="1"/>
    </xf>
    <xf numFmtId="0" fontId="0" fillId="0" borderId="0" xfId="0" applyAlignment="1">
      <alignment vertical="center"/>
    </xf>
    <xf numFmtId="0" fontId="130" fillId="33" borderId="1" xfId="0" applyFont="1" applyFill="1" applyBorder="1" applyAlignment="1">
      <alignment horizontal="center" vertical="center" wrapText="1"/>
    </xf>
    <xf numFmtId="0" fontId="130" fillId="0" borderId="5" xfId="0" applyFont="1" applyBorder="1" applyAlignment="1">
      <alignment horizontal="center" vertical="center" wrapText="1"/>
    </xf>
    <xf numFmtId="41" fontId="130" fillId="0" borderId="2" xfId="0" applyNumberFormat="1" applyFont="1" applyBorder="1" applyAlignment="1">
      <alignment horizontal="center" vertical="center" wrapText="1"/>
    </xf>
    <xf numFmtId="41" fontId="130" fillId="0" borderId="5" xfId="0" applyNumberFormat="1" applyFont="1" applyBorder="1" applyAlignment="1">
      <alignment horizontal="center" vertical="center" wrapText="1"/>
    </xf>
    <xf numFmtId="0" fontId="130" fillId="33" borderId="5" xfId="0" applyFont="1" applyFill="1" applyBorder="1" applyAlignment="1">
      <alignment horizontal="left" vertical="center" wrapText="1"/>
    </xf>
    <xf numFmtId="0" fontId="84" fillId="0" borderId="102" xfId="0" applyFont="1" applyBorder="1" applyAlignment="1">
      <alignment horizontal="center" vertical="top" wrapText="1"/>
    </xf>
    <xf numFmtId="0" fontId="84" fillId="0" borderId="102" xfId="0" applyFont="1" applyBorder="1" applyAlignment="1">
      <alignment horizontal="left" vertical="top" wrapText="1"/>
    </xf>
    <xf numFmtId="0" fontId="84" fillId="0" borderId="93" xfId="0" applyFont="1" applyBorder="1" applyAlignment="1">
      <alignment horizontal="left" vertical="top" wrapText="1"/>
    </xf>
    <xf numFmtId="0" fontId="84" fillId="0" borderId="93" xfId="0" applyFont="1" applyBorder="1" applyAlignment="1">
      <alignment horizontal="center" vertical="top" wrapText="1"/>
    </xf>
    <xf numFmtId="3" fontId="84" fillId="0" borderId="93" xfId="0" applyNumberFormat="1" applyFont="1" applyBorder="1" applyAlignment="1">
      <alignment horizontal="center" vertical="top"/>
    </xf>
    <xf numFmtId="3" fontId="84" fillId="33" borderId="65" xfId="0" applyNumberFormat="1" applyFont="1" applyFill="1" applyBorder="1" applyAlignment="1">
      <alignment horizontal="center" vertical="top" wrapText="1"/>
    </xf>
    <xf numFmtId="9" fontId="84" fillId="33" borderId="89" xfId="2" applyFont="1" applyFill="1" applyBorder="1" applyAlignment="1" applyProtection="1">
      <alignment horizontal="center" vertical="top" wrapText="1"/>
    </xf>
    <xf numFmtId="0" fontId="131" fillId="33" borderId="65" xfId="0" applyFont="1" applyFill="1" applyBorder="1" applyAlignment="1">
      <alignment horizontal="left" wrapText="1"/>
    </xf>
    <xf numFmtId="0" fontId="122" fillId="0" borderId="0" xfId="0" applyFont="1" applyAlignment="1">
      <alignment vertical="top" wrapText="1"/>
    </xf>
    <xf numFmtId="0" fontId="84" fillId="0" borderId="99" xfId="0" applyFont="1" applyBorder="1" applyAlignment="1">
      <alignment horizontal="center" vertical="top" wrapText="1"/>
    </xf>
    <xf numFmtId="0" fontId="84" fillId="0" borderId="99" xfId="0" applyFont="1" applyBorder="1" applyAlignment="1">
      <alignment horizontal="left" vertical="top" wrapText="1"/>
    </xf>
    <xf numFmtId="3" fontId="84" fillId="0" borderId="99" xfId="0" applyNumberFormat="1" applyFont="1" applyBorder="1" applyAlignment="1">
      <alignment horizontal="center" vertical="top"/>
    </xf>
    <xf numFmtId="0" fontId="84" fillId="33" borderId="106" xfId="0" applyFont="1" applyFill="1" applyBorder="1" applyAlignment="1">
      <alignment horizontal="center" vertical="top" wrapText="1"/>
    </xf>
    <xf numFmtId="9" fontId="84" fillId="33" borderId="88" xfId="2" applyFont="1" applyFill="1" applyBorder="1" applyAlignment="1" applyProtection="1">
      <alignment horizontal="center" vertical="top" wrapText="1"/>
    </xf>
    <xf numFmtId="0" fontId="131" fillId="33" borderId="106" xfId="0" applyFont="1" applyFill="1" applyBorder="1" applyAlignment="1">
      <alignment horizontal="left" vertical="top" wrapText="1"/>
    </xf>
    <xf numFmtId="0" fontId="84" fillId="0" borderId="101" xfId="0" applyFont="1" applyBorder="1" applyAlignment="1">
      <alignment horizontal="center" vertical="top" wrapText="1"/>
    </xf>
    <xf numFmtId="0" fontId="132" fillId="0" borderId="99" xfId="0" applyFont="1" applyBorder="1" applyAlignment="1">
      <alignment horizontal="left" vertical="top" wrapText="1"/>
    </xf>
    <xf numFmtId="0" fontId="84" fillId="0" borderId="99" xfId="0" applyFont="1" applyBorder="1" applyAlignment="1">
      <alignment horizontal="center" vertical="top"/>
    </xf>
    <xf numFmtId="0" fontId="84" fillId="0" borderId="101" xfId="0" applyFont="1" applyBorder="1" applyAlignment="1">
      <alignment horizontal="center" vertical="top"/>
    </xf>
    <xf numFmtId="0" fontId="84" fillId="33" borderId="105" xfId="0" applyFont="1" applyFill="1" applyBorder="1" applyAlignment="1">
      <alignment horizontal="center" vertical="top" wrapText="1"/>
    </xf>
    <xf numFmtId="9" fontId="84" fillId="33" borderId="78" xfId="2" applyFont="1" applyFill="1" applyBorder="1" applyAlignment="1" applyProtection="1">
      <alignment horizontal="center" vertical="top" wrapText="1"/>
    </xf>
    <xf numFmtId="0" fontId="131" fillId="33" borderId="106" xfId="0" applyFont="1" applyFill="1" applyBorder="1" applyAlignment="1">
      <alignment horizontal="center" vertical="center" wrapText="1"/>
    </xf>
    <xf numFmtId="0" fontId="84" fillId="33" borderId="80" xfId="0" applyFont="1" applyFill="1" applyBorder="1" applyAlignment="1">
      <alignment vertical="top" wrapText="1"/>
    </xf>
    <xf numFmtId="3" fontId="84" fillId="33" borderId="106" xfId="0" applyNumberFormat="1" applyFont="1" applyFill="1" applyBorder="1" applyAlignment="1">
      <alignment horizontal="center" vertical="top" wrapText="1"/>
    </xf>
    <xf numFmtId="3" fontId="84" fillId="12" borderId="106" xfId="0" applyNumberFormat="1" applyFont="1" applyFill="1" applyBorder="1" applyAlignment="1">
      <alignment horizontal="center" vertical="top" wrapText="1"/>
    </xf>
    <xf numFmtId="9" fontId="84" fillId="12" borderId="106" xfId="2" applyFont="1" applyFill="1" applyBorder="1" applyAlignment="1" applyProtection="1">
      <alignment horizontal="center" vertical="top" wrapText="1"/>
    </xf>
    <xf numFmtId="0" fontId="122" fillId="0" borderId="0" xfId="0" applyFont="1" applyAlignment="1">
      <alignment vertical="top"/>
    </xf>
    <xf numFmtId="0" fontId="84" fillId="33" borderId="82" xfId="0" applyFont="1" applyFill="1" applyBorder="1" applyAlignment="1">
      <alignment vertical="top" wrapText="1"/>
    </xf>
    <xf numFmtId="3" fontId="84" fillId="33" borderId="105" xfId="0" applyNumberFormat="1" applyFont="1" applyFill="1" applyBorder="1" applyAlignment="1">
      <alignment vertical="top" wrapText="1"/>
    </xf>
    <xf numFmtId="3" fontId="84" fillId="12" borderId="105" xfId="0" applyNumberFormat="1" applyFont="1" applyFill="1" applyBorder="1" applyAlignment="1">
      <alignment vertical="top" wrapText="1"/>
    </xf>
    <xf numFmtId="9" fontId="84" fillId="12" borderId="105" xfId="2" applyFont="1" applyFill="1" applyBorder="1" applyAlignment="1" applyProtection="1">
      <alignment horizontal="center" vertical="top" wrapText="1"/>
    </xf>
    <xf numFmtId="0" fontId="131" fillId="33" borderId="105" xfId="0" applyFont="1" applyFill="1" applyBorder="1" applyAlignment="1">
      <alignment horizontal="left" vertical="top" wrapText="1"/>
    </xf>
    <xf numFmtId="0" fontId="60" fillId="33" borderId="4" xfId="0" applyFont="1" applyFill="1" applyBorder="1" applyAlignment="1">
      <alignment horizontal="center" vertical="top" wrapText="1"/>
    </xf>
    <xf numFmtId="0" fontId="60" fillId="33" borderId="13" xfId="0" applyFont="1" applyFill="1" applyBorder="1" applyAlignment="1">
      <alignment horizontal="center" vertical="top" wrapText="1"/>
    </xf>
    <xf numFmtId="0" fontId="55" fillId="33" borderId="90" xfId="0" applyFont="1" applyFill="1" applyBorder="1" applyAlignment="1">
      <alignment horizontal="center" vertical="center"/>
    </xf>
    <xf numFmtId="0" fontId="60" fillId="33" borderId="13" xfId="0" applyFont="1" applyFill="1" applyBorder="1" applyAlignment="1">
      <alignment horizontal="left" vertical="top" wrapText="1"/>
    </xf>
    <xf numFmtId="9" fontId="60" fillId="33" borderId="13" xfId="0" applyNumberFormat="1" applyFont="1" applyFill="1" applyBorder="1" applyAlignment="1">
      <alignment horizontal="center" vertical="top" wrapText="1"/>
    </xf>
    <xf numFmtId="0" fontId="60" fillId="33" borderId="37" xfId="0" applyFont="1" applyFill="1" applyBorder="1" applyAlignment="1">
      <alignment horizontal="center" vertical="top" wrapText="1"/>
    </xf>
    <xf numFmtId="0" fontId="130" fillId="0" borderId="2" xfId="0" applyFont="1" applyBorder="1" applyAlignment="1">
      <alignment horizontal="center" vertical="center" wrapText="1"/>
    </xf>
    <xf numFmtId="0" fontId="26" fillId="33" borderId="106" xfId="0" applyFont="1" applyFill="1" applyBorder="1" applyAlignment="1">
      <alignment horizontal="center" vertical="top" wrapText="1"/>
    </xf>
    <xf numFmtId="0" fontId="26" fillId="33" borderId="106" xfId="0" applyFont="1" applyFill="1" applyBorder="1" applyAlignment="1">
      <alignment horizontal="left" vertical="top" wrapText="1"/>
    </xf>
    <xf numFmtId="0" fontId="26" fillId="33" borderId="106" xfId="0" applyFont="1" applyFill="1" applyBorder="1" applyAlignment="1">
      <alignment horizontal="center" vertical="top"/>
    </xf>
    <xf numFmtId="9" fontId="26" fillId="33" borderId="106" xfId="0" applyNumberFormat="1" applyFont="1" applyFill="1" applyBorder="1" applyAlignment="1">
      <alignment horizontal="center" vertical="top"/>
    </xf>
    <xf numFmtId="9" fontId="26" fillId="33" borderId="106" xfId="0" applyNumberFormat="1" applyFont="1" applyFill="1" applyBorder="1" applyAlignment="1">
      <alignment horizontal="center" vertical="top" wrapText="1"/>
    </xf>
    <xf numFmtId="9" fontId="26" fillId="33" borderId="106" xfId="2" applyFont="1" applyFill="1" applyBorder="1" applyAlignment="1" applyProtection="1">
      <alignment horizontal="center" vertical="top" wrapText="1"/>
    </xf>
    <xf numFmtId="0" fontId="94" fillId="0" borderId="65" xfId="0" applyFont="1" applyBorder="1" applyAlignment="1">
      <alignment vertical="top"/>
    </xf>
    <xf numFmtId="3" fontId="26" fillId="33" borderId="106" xfId="0" applyNumberFormat="1" applyFont="1" applyFill="1" applyBorder="1" applyAlignment="1">
      <alignment horizontal="center" vertical="top"/>
    </xf>
    <xf numFmtId="0" fontId="94" fillId="0" borderId="106" xfId="0" applyFont="1" applyBorder="1"/>
    <xf numFmtId="0" fontId="94" fillId="0" borderId="106" xfId="0" applyFont="1" applyBorder="1" applyAlignment="1">
      <alignment horizontal="left" vertical="top" wrapText="1"/>
    </xf>
    <xf numFmtId="0" fontId="30" fillId="33" borderId="106" xfId="0" applyFont="1" applyFill="1" applyBorder="1" applyAlignment="1">
      <alignment horizontal="left" vertical="top" wrapText="1"/>
    </xf>
    <xf numFmtId="0" fontId="26" fillId="33" borderId="106" xfId="0" applyFont="1" applyFill="1" applyBorder="1" applyAlignment="1">
      <alignment vertical="top" wrapText="1"/>
    </xf>
    <xf numFmtId="3" fontId="26" fillId="33" borderId="106" xfId="0" applyNumberFormat="1" applyFont="1" applyFill="1" applyBorder="1" applyAlignment="1">
      <alignment vertical="top" wrapText="1"/>
    </xf>
    <xf numFmtId="0" fontId="122" fillId="0" borderId="106" xfId="0" applyFont="1" applyBorder="1" applyAlignment="1">
      <alignment vertical="top"/>
    </xf>
    <xf numFmtId="3" fontId="26" fillId="33" borderId="106" xfId="0" applyNumberFormat="1" applyFont="1" applyFill="1" applyBorder="1" applyAlignment="1">
      <alignment horizontal="center" vertical="top" wrapText="1"/>
    </xf>
    <xf numFmtId="0" fontId="26" fillId="33" borderId="105" xfId="0" applyFont="1" applyFill="1" applyBorder="1" applyAlignment="1">
      <alignment horizontal="center" vertical="top" wrapText="1"/>
    </xf>
    <xf numFmtId="0" fontId="26" fillId="33" borderId="105" xfId="0" applyFont="1" applyFill="1" applyBorder="1" applyAlignment="1">
      <alignment vertical="top" wrapText="1"/>
    </xf>
    <xf numFmtId="0" fontId="26" fillId="33" borderId="105" xfId="0" applyFont="1" applyFill="1" applyBorder="1" applyAlignment="1">
      <alignment horizontal="center" vertical="top"/>
    </xf>
    <xf numFmtId="9" fontId="26" fillId="33" borderId="105" xfId="2" applyFont="1" applyFill="1" applyBorder="1" applyAlignment="1" applyProtection="1">
      <alignment horizontal="center" vertical="top" wrapText="1"/>
    </xf>
    <xf numFmtId="0" fontId="94" fillId="0" borderId="105" xfId="0" applyFont="1" applyBorder="1"/>
    <xf numFmtId="0" fontId="26" fillId="33" borderId="4" xfId="0" applyFont="1" applyFill="1" applyBorder="1" applyAlignment="1">
      <alignment horizontal="center" vertical="top"/>
    </xf>
    <xf numFmtId="0" fontId="27" fillId="33" borderId="13" xfId="0" applyFont="1" applyFill="1" applyBorder="1" applyAlignment="1">
      <alignment vertical="top"/>
    </xf>
    <xf numFmtId="0" fontId="27" fillId="33" borderId="13" xfId="0" applyFont="1" applyFill="1" applyBorder="1" applyAlignment="1">
      <alignment horizontal="center" vertical="top"/>
    </xf>
    <xf numFmtId="9" fontId="27" fillId="33" borderId="13" xfId="0" applyNumberFormat="1" applyFont="1" applyFill="1" applyBorder="1" applyAlignment="1">
      <alignment horizontal="center" vertical="top"/>
    </xf>
    <xf numFmtId="9" fontId="27" fillId="33" borderId="5" xfId="0" applyNumberFormat="1" applyFont="1" applyFill="1" applyBorder="1" applyAlignment="1">
      <alignment horizontal="center" vertical="top"/>
    </xf>
    <xf numFmtId="0" fontId="130" fillId="33" borderId="3" xfId="0" applyFont="1" applyFill="1" applyBorder="1" applyAlignment="1">
      <alignment horizontal="left" vertical="center" wrapText="1"/>
    </xf>
    <xf numFmtId="0" fontId="53" fillId="0" borderId="93" xfId="0" applyFont="1" applyBorder="1" applyAlignment="1">
      <alignment horizontal="left" vertical="top" wrapText="1"/>
    </xf>
    <xf numFmtId="0" fontId="133" fillId="0" borderId="93" xfId="0" applyFont="1" applyBorder="1" applyAlignment="1">
      <alignment horizontal="center" vertical="top"/>
    </xf>
    <xf numFmtId="1" fontId="53" fillId="33" borderId="65" xfId="0" applyNumberFormat="1" applyFont="1" applyFill="1" applyBorder="1" applyAlignment="1">
      <alignment horizontal="center" vertical="top" wrapText="1"/>
    </xf>
    <xf numFmtId="0" fontId="53" fillId="33" borderId="65" xfId="0" applyFont="1" applyFill="1" applyBorder="1" applyAlignment="1">
      <alignment horizontal="center" vertical="top" wrapText="1"/>
    </xf>
    <xf numFmtId="9" fontId="53" fillId="33" borderId="89" xfId="2" applyFont="1" applyFill="1" applyBorder="1" applyAlignment="1" applyProtection="1">
      <alignment horizontal="center" vertical="top" wrapText="1"/>
    </xf>
    <xf numFmtId="0" fontId="53" fillId="0" borderId="101" xfId="0" applyFont="1" applyBorder="1" applyAlignment="1">
      <alignment horizontal="left" vertical="top" wrapText="1"/>
    </xf>
    <xf numFmtId="0" fontId="133" fillId="0" borderId="101" xfId="0" applyFont="1" applyBorder="1" applyAlignment="1">
      <alignment horizontal="center" vertical="top"/>
    </xf>
    <xf numFmtId="1" fontId="53" fillId="33" borderId="105" xfId="0" applyNumberFormat="1" applyFont="1" applyFill="1" applyBorder="1" applyAlignment="1">
      <alignment horizontal="center" vertical="top" wrapText="1"/>
    </xf>
    <xf numFmtId="0" fontId="53" fillId="33" borderId="105" xfId="0" applyFont="1" applyFill="1" applyBorder="1" applyAlignment="1">
      <alignment horizontal="center" vertical="top" wrapText="1"/>
    </xf>
    <xf numFmtId="9" fontId="53" fillId="33" borderId="78" xfId="2" applyFont="1" applyFill="1" applyBorder="1" applyAlignment="1" applyProtection="1">
      <alignment horizontal="center" vertical="top" wrapText="1"/>
    </xf>
    <xf numFmtId="0" fontId="55" fillId="0" borderId="1" xfId="0" applyFont="1" applyBorder="1" applyAlignment="1">
      <alignment wrapText="1"/>
    </xf>
    <xf numFmtId="0" fontId="55" fillId="0" borderId="1" xfId="0" applyFont="1" applyBorder="1" applyAlignment="1">
      <alignment horizontal="center" wrapText="1"/>
    </xf>
    <xf numFmtId="9" fontId="55" fillId="0" borderId="1" xfId="2" applyFont="1" applyBorder="1" applyAlignment="1" applyProtection="1">
      <alignment horizontal="center" wrapText="1"/>
    </xf>
    <xf numFmtId="0" fontId="53" fillId="0" borderId="93" xfId="0" applyFont="1" applyBorder="1" applyAlignment="1">
      <alignment horizontal="center" vertical="top" wrapText="1"/>
    </xf>
    <xf numFmtId="41" fontId="53" fillId="0" borderId="93" xfId="0" applyNumberFormat="1" applyFont="1" applyBorder="1" applyAlignment="1">
      <alignment horizontal="center" vertical="top"/>
    </xf>
    <xf numFmtId="3" fontId="94" fillId="33" borderId="65" xfId="0" applyNumberFormat="1" applyFont="1" applyFill="1" applyBorder="1" applyAlignment="1">
      <alignment horizontal="center" vertical="top" wrapText="1"/>
    </xf>
    <xf numFmtId="9" fontId="53" fillId="33" borderId="65" xfId="2" applyFont="1" applyFill="1" applyBorder="1" applyAlignment="1" applyProtection="1">
      <alignment horizontal="center" vertical="top" wrapText="1"/>
    </xf>
    <xf numFmtId="0" fontId="53" fillId="33" borderId="65" xfId="0" applyFont="1" applyFill="1" applyBorder="1" applyAlignment="1">
      <alignment vertical="top" wrapText="1"/>
    </xf>
    <xf numFmtId="0" fontId="53" fillId="0" borderId="101" xfId="0" applyFont="1" applyBorder="1" applyAlignment="1">
      <alignment horizontal="center" vertical="top" wrapText="1"/>
    </xf>
    <xf numFmtId="41" fontId="53" fillId="0" borderId="101" xfId="0" applyNumberFormat="1" applyFont="1" applyBorder="1" applyAlignment="1">
      <alignment horizontal="center" vertical="top"/>
    </xf>
    <xf numFmtId="3" fontId="94" fillId="33" borderId="105" xfId="0" applyNumberFormat="1" applyFont="1" applyFill="1" applyBorder="1" applyAlignment="1">
      <alignment horizontal="center" vertical="top" wrapText="1"/>
    </xf>
    <xf numFmtId="9" fontId="53" fillId="33" borderId="105" xfId="2" applyFont="1" applyFill="1" applyBorder="1" applyAlignment="1" applyProtection="1">
      <alignment horizontal="center" vertical="top" wrapText="1"/>
    </xf>
    <xf numFmtId="0" fontId="53" fillId="33" borderId="105" xfId="0" applyFont="1" applyFill="1" applyBorder="1" applyAlignment="1">
      <alignment vertical="top" wrapText="1"/>
    </xf>
    <xf numFmtId="0" fontId="53" fillId="33" borderId="1" xfId="0" applyFont="1" applyFill="1" applyBorder="1" applyAlignment="1">
      <alignment wrapText="1"/>
    </xf>
    <xf numFmtId="0" fontId="53" fillId="33" borderId="13" xfId="0" applyFont="1" applyFill="1" applyBorder="1" applyAlignment="1">
      <alignment wrapText="1"/>
    </xf>
    <xf numFmtId="9" fontId="55" fillId="33" borderId="13" xfId="2" applyFont="1" applyFill="1" applyBorder="1" applyAlignment="1" applyProtection="1">
      <alignment horizontal="center" vertical="center" wrapText="1"/>
    </xf>
    <xf numFmtId="0" fontId="53" fillId="0" borderId="65" xfId="0" applyFont="1" applyBorder="1" applyAlignment="1">
      <alignment horizontal="center" vertical="top" wrapText="1"/>
    </xf>
    <xf numFmtId="0" fontId="53" fillId="0" borderId="115" xfId="0" applyFont="1" applyBorder="1" applyAlignment="1">
      <alignment horizontal="left" vertical="top" wrapText="1"/>
    </xf>
    <xf numFmtId="0" fontId="53" fillId="0" borderId="93" xfId="0" applyFont="1" applyBorder="1" applyAlignment="1">
      <alignment horizontal="left" vertical="top"/>
    </xf>
    <xf numFmtId="0" fontId="53" fillId="33" borderId="20" xfId="0" applyFont="1" applyFill="1" applyBorder="1" applyAlignment="1">
      <alignment horizontal="center" vertical="top" wrapText="1"/>
    </xf>
    <xf numFmtId="165" fontId="53" fillId="33" borderId="88" xfId="2" applyNumberFormat="1" applyFont="1" applyFill="1" applyBorder="1" applyAlignment="1" applyProtection="1">
      <alignment horizontal="center" vertical="top" wrapText="1"/>
    </xf>
    <xf numFmtId="0" fontId="53" fillId="0" borderId="105" xfId="0" applyFont="1" applyBorder="1" applyAlignment="1">
      <alignment horizontal="center" vertical="top" wrapText="1"/>
    </xf>
    <xf numFmtId="0" fontId="53" fillId="0" borderId="116" xfId="0" applyFont="1" applyBorder="1" applyAlignment="1">
      <alignment horizontal="left" vertical="top" wrapText="1"/>
    </xf>
    <xf numFmtId="0" fontId="53" fillId="0" borderId="101" xfId="0" applyFont="1" applyBorder="1" applyAlignment="1">
      <alignment horizontal="center" vertical="top"/>
    </xf>
    <xf numFmtId="165" fontId="53" fillId="33" borderId="78" xfId="2" applyNumberFormat="1" applyFont="1" applyFill="1" applyBorder="1" applyAlignment="1" applyProtection="1">
      <alignment horizontal="center" vertical="top" wrapText="1"/>
    </xf>
    <xf numFmtId="0" fontId="55" fillId="0" borderId="5" xfId="0" applyFont="1" applyBorder="1" applyAlignment="1">
      <alignment vertical="top" wrapText="1"/>
    </xf>
    <xf numFmtId="0" fontId="55" fillId="0" borderId="2" xfId="0" applyFont="1" applyBorder="1" applyAlignment="1">
      <alignment vertical="top" wrapText="1"/>
    </xf>
    <xf numFmtId="0" fontId="55" fillId="0" borderId="90" xfId="0" applyFont="1" applyBorder="1" applyAlignment="1">
      <alignment horizontal="center" vertical="center"/>
    </xf>
    <xf numFmtId="165" fontId="55" fillId="0" borderId="5" xfId="0" applyNumberFormat="1" applyFont="1" applyBorder="1" applyAlignment="1">
      <alignment horizontal="center" vertical="top" wrapText="1"/>
    </xf>
    <xf numFmtId="0" fontId="94" fillId="33" borderId="16" xfId="0" applyFont="1" applyFill="1" applyBorder="1" applyAlignment="1">
      <alignment horizontal="center" vertical="top" wrapText="1"/>
    </xf>
    <xf numFmtId="0" fontId="94" fillId="33" borderId="65" xfId="0" applyFont="1" applyFill="1" applyBorder="1" applyAlignment="1">
      <alignment vertical="top" wrapText="1"/>
    </xf>
    <xf numFmtId="0" fontId="94" fillId="33" borderId="65" xfId="0" applyFont="1" applyFill="1" applyBorder="1" applyAlignment="1">
      <alignment horizontal="left" vertical="top" wrapText="1"/>
    </xf>
    <xf numFmtId="0" fontId="94" fillId="33" borderId="65" xfId="0" applyFont="1" applyFill="1" applyBorder="1" applyAlignment="1">
      <alignment horizontal="center" vertical="top" wrapText="1"/>
    </xf>
    <xf numFmtId="0" fontId="94" fillId="33" borderId="65" xfId="0" applyFont="1" applyFill="1" applyBorder="1" applyAlignment="1">
      <alignment horizontal="center" vertical="top"/>
    </xf>
    <xf numFmtId="9" fontId="94" fillId="33" borderId="65" xfId="2" applyFont="1" applyFill="1" applyBorder="1" applyAlignment="1" applyProtection="1">
      <alignment horizontal="center" vertical="top" wrapText="1"/>
    </xf>
    <xf numFmtId="0" fontId="94" fillId="33" borderId="106" xfId="0" applyFont="1" applyFill="1" applyBorder="1" applyAlignment="1">
      <alignment vertical="top" wrapText="1"/>
    </xf>
    <xf numFmtId="0" fontId="94" fillId="33" borderId="106" xfId="0" applyFont="1" applyFill="1" applyBorder="1" applyAlignment="1">
      <alignment horizontal="left" vertical="top" wrapText="1"/>
    </xf>
    <xf numFmtId="0" fontId="94" fillId="33" borderId="105" xfId="0" applyFont="1" applyFill="1" applyBorder="1" applyAlignment="1">
      <alignment horizontal="center" vertical="top" wrapText="1"/>
    </xf>
    <xf numFmtId="0" fontId="94" fillId="33" borderId="106" xfId="0" applyFont="1" applyFill="1" applyBorder="1" applyAlignment="1">
      <alignment horizontal="center" vertical="top" wrapText="1"/>
    </xf>
    <xf numFmtId="0" fontId="94" fillId="33" borderId="106" xfId="0" applyFont="1" applyFill="1" applyBorder="1" applyAlignment="1">
      <alignment horizontal="center" vertical="top"/>
    </xf>
    <xf numFmtId="9" fontId="94" fillId="33" borderId="106" xfId="2" applyFont="1" applyFill="1" applyBorder="1" applyAlignment="1" applyProtection="1">
      <alignment horizontal="center" vertical="top" wrapText="1"/>
    </xf>
    <xf numFmtId="0" fontId="94" fillId="33" borderId="105" xfId="0" applyFont="1" applyFill="1" applyBorder="1" applyAlignment="1">
      <alignment vertical="top" wrapText="1"/>
    </xf>
    <xf numFmtId="0" fontId="134" fillId="33" borderId="4" xfId="0" applyFont="1" applyFill="1" applyBorder="1" applyAlignment="1">
      <alignment horizontal="center" vertical="top" wrapText="1"/>
    </xf>
    <xf numFmtId="0" fontId="134" fillId="33" borderId="13" xfId="0" applyFont="1" applyFill="1" applyBorder="1" applyAlignment="1">
      <alignment horizontal="center" vertical="top" wrapText="1"/>
    </xf>
    <xf numFmtId="9" fontId="134" fillId="33" borderId="13" xfId="0" applyNumberFormat="1" applyFont="1" applyFill="1" applyBorder="1" applyAlignment="1">
      <alignment horizontal="center" vertical="top" wrapText="1"/>
    </xf>
    <xf numFmtId="0" fontId="94" fillId="0" borderId="65" xfId="0" applyFont="1" applyBorder="1" applyAlignment="1">
      <alignment horizontal="center" vertical="top" wrapText="1"/>
    </xf>
    <xf numFmtId="0" fontId="94" fillId="0" borderId="65" xfId="0" applyFont="1" applyBorder="1" applyAlignment="1">
      <alignment horizontal="left" vertical="top" wrapText="1"/>
    </xf>
    <xf numFmtId="41" fontId="94" fillId="0" borderId="65" xfId="0" applyNumberFormat="1" applyFont="1" applyBorder="1" applyAlignment="1">
      <alignment horizontal="center" vertical="top"/>
    </xf>
    <xf numFmtId="41" fontId="94" fillId="33" borderId="65" xfId="0" applyNumberFormat="1" applyFont="1" applyFill="1" applyBorder="1" applyAlignment="1">
      <alignment horizontal="center" vertical="top" wrapText="1"/>
    </xf>
    <xf numFmtId="0" fontId="94" fillId="0" borderId="105" xfId="0" applyFont="1" applyBorder="1" applyAlignment="1">
      <alignment horizontal="center" vertical="top" wrapText="1"/>
    </xf>
    <xf numFmtId="0" fontId="94" fillId="0" borderId="105" xfId="0" applyFont="1" applyBorder="1" applyAlignment="1">
      <alignment horizontal="left" vertical="top" wrapText="1"/>
    </xf>
    <xf numFmtId="41" fontId="94" fillId="0" borderId="105" xfId="0" applyNumberFormat="1" applyFont="1" applyBorder="1" applyAlignment="1">
      <alignment horizontal="center" vertical="top"/>
    </xf>
    <xf numFmtId="41" fontId="94" fillId="33" borderId="105" xfId="0" applyNumberFormat="1" applyFont="1" applyFill="1" applyBorder="1" applyAlignment="1">
      <alignment horizontal="center" vertical="top" wrapText="1"/>
    </xf>
    <xf numFmtId="9" fontId="94" fillId="33" borderId="105" xfId="2" applyFont="1" applyFill="1" applyBorder="1" applyAlignment="1" applyProtection="1">
      <alignment horizontal="center" vertical="top" wrapText="1"/>
    </xf>
    <xf numFmtId="0" fontId="94" fillId="0" borderId="1" xfId="0" applyFont="1" applyBorder="1" applyAlignment="1">
      <alignment vertical="top" wrapText="1"/>
    </xf>
    <xf numFmtId="0" fontId="94" fillId="0" borderId="5" xfId="0" applyFont="1" applyBorder="1" applyAlignment="1">
      <alignment vertical="top" wrapText="1"/>
    </xf>
    <xf numFmtId="0" fontId="134" fillId="0" borderId="90" xfId="0" applyFont="1" applyBorder="1" applyAlignment="1">
      <alignment horizontal="center" vertical="top" wrapText="1"/>
    </xf>
    <xf numFmtId="3" fontId="135" fillId="0" borderId="90" xfId="0" applyNumberFormat="1" applyFont="1" applyBorder="1" applyAlignment="1">
      <alignment horizontal="center" vertical="top"/>
    </xf>
    <xf numFmtId="1" fontId="94" fillId="33" borderId="37" xfId="2" applyNumberFormat="1" applyFont="1" applyFill="1" applyBorder="1" applyAlignment="1" applyProtection="1">
      <alignment horizontal="center" vertical="top" wrapText="1"/>
    </xf>
    <xf numFmtId="0" fontId="94" fillId="33" borderId="92" xfId="0" applyFont="1" applyFill="1" applyBorder="1" applyAlignment="1">
      <alignment horizontal="left" vertical="top" wrapText="1"/>
    </xf>
    <xf numFmtId="41" fontId="94" fillId="33" borderId="0" xfId="0" applyNumberFormat="1" applyFont="1" applyFill="1" applyAlignment="1">
      <alignment horizontal="right" vertical="top"/>
    </xf>
    <xf numFmtId="9" fontId="94" fillId="33" borderId="76" xfId="2" applyFont="1" applyFill="1" applyBorder="1" applyAlignment="1" applyProtection="1">
      <alignment horizontal="center" vertical="top" wrapText="1"/>
    </xf>
    <xf numFmtId="0" fontId="53" fillId="33" borderId="93" xfId="0" applyFont="1" applyFill="1" applyBorder="1" applyAlignment="1">
      <alignment horizontal="left" vertical="center" wrapText="1"/>
    </xf>
    <xf numFmtId="41" fontId="94" fillId="33" borderId="105" xfId="0" applyNumberFormat="1" applyFont="1" applyFill="1" applyBorder="1" applyAlignment="1">
      <alignment vertical="top" wrapText="1"/>
    </xf>
    <xf numFmtId="0" fontId="53" fillId="0" borderId="1" xfId="0" applyFont="1" applyBorder="1" applyAlignment="1">
      <alignment wrapText="1"/>
    </xf>
    <xf numFmtId="0" fontId="51" fillId="0" borderId="90" xfId="0" applyFont="1" applyBorder="1"/>
    <xf numFmtId="0" fontId="53" fillId="0" borderId="90" xfId="0" applyFont="1" applyBorder="1" applyAlignment="1">
      <alignment horizontal="center" vertical="center"/>
    </xf>
    <xf numFmtId="3" fontId="133" fillId="0" borderId="90" xfId="0" applyNumberFormat="1" applyFont="1" applyBorder="1" applyAlignment="1">
      <alignment horizontal="center" vertical="center"/>
    </xf>
    <xf numFmtId="0" fontId="53" fillId="33" borderId="13" xfId="0" applyFont="1" applyFill="1" applyBorder="1" applyAlignment="1">
      <alignment horizontal="center" vertical="center" wrapText="1"/>
    </xf>
    <xf numFmtId="0" fontId="25" fillId="5" borderId="65" xfId="0" applyFont="1" applyFill="1" applyBorder="1" applyAlignment="1">
      <alignment horizontal="center" vertical="center" wrapText="1"/>
    </xf>
    <xf numFmtId="0" fontId="25" fillId="5" borderId="65" xfId="0" applyFont="1" applyFill="1" applyBorder="1" applyAlignment="1">
      <alignment horizontal="left" vertical="center" wrapText="1"/>
    </xf>
    <xf numFmtId="0" fontId="25" fillId="5" borderId="65" xfId="0" applyFont="1" applyFill="1" applyBorder="1" applyAlignment="1">
      <alignment horizontal="center" vertical="center"/>
    </xf>
    <xf numFmtId="9" fontId="25" fillId="5" borderId="65" xfId="2" applyFont="1" applyFill="1" applyBorder="1" applyAlignment="1">
      <alignment horizontal="center" vertical="center" wrapText="1"/>
    </xf>
    <xf numFmtId="0" fontId="25" fillId="5" borderId="65" xfId="0" applyFont="1" applyFill="1" applyBorder="1" applyAlignment="1">
      <alignment vertical="center" wrapText="1"/>
    </xf>
    <xf numFmtId="0" fontId="25" fillId="5" borderId="65" xfId="0" applyFont="1" applyFill="1" applyBorder="1" applyAlignment="1">
      <alignment horizontal="left" vertical="top" wrapText="1"/>
    </xf>
    <xf numFmtId="0" fontId="25" fillId="5" borderId="65" xfId="0" applyFont="1" applyFill="1" applyBorder="1" applyAlignment="1">
      <alignment horizontal="center" vertical="top"/>
    </xf>
    <xf numFmtId="0" fontId="25" fillId="5" borderId="65" xfId="0" applyFont="1" applyFill="1" applyBorder="1" applyAlignment="1">
      <alignment horizontal="center" vertical="top" wrapText="1"/>
    </xf>
    <xf numFmtId="9" fontId="25" fillId="5" borderId="65" xfId="2" applyFont="1" applyFill="1" applyBorder="1" applyAlignment="1">
      <alignment horizontal="center" vertical="top" wrapText="1"/>
    </xf>
    <xf numFmtId="0" fontId="25" fillId="5" borderId="65" xfId="0" applyFont="1" applyFill="1" applyBorder="1" applyAlignment="1">
      <alignment vertical="top" wrapText="1"/>
    </xf>
    <xf numFmtId="3" fontId="136" fillId="5" borderId="6" xfId="0" applyNumberFormat="1" applyFont="1" applyFill="1" applyBorder="1" applyAlignment="1">
      <alignment horizontal="center" vertical="top" wrapText="1"/>
    </xf>
    <xf numFmtId="9" fontId="136" fillId="5" borderId="6" xfId="2" applyFont="1" applyFill="1" applyBorder="1" applyAlignment="1">
      <alignment horizontal="center" vertical="top" wrapText="1"/>
    </xf>
    <xf numFmtId="9" fontId="17" fillId="0" borderId="6" xfId="2" applyFont="1" applyFill="1" applyBorder="1" applyAlignment="1">
      <alignment horizontal="center" vertical="top" wrapText="1"/>
    </xf>
    <xf numFmtId="0" fontId="17" fillId="0" borderId="6" xfId="0" applyFont="1" applyBorder="1" applyAlignment="1">
      <alignment vertical="top" wrapText="1"/>
    </xf>
    <xf numFmtId="1" fontId="0" fillId="0" borderId="0" xfId="0" applyNumberFormat="1"/>
    <xf numFmtId="0" fontId="0" fillId="12" borderId="6" xfId="0" applyFill="1" applyBorder="1" applyAlignment="1">
      <alignment horizontal="center" vertical="top"/>
    </xf>
    <xf numFmtId="9" fontId="0" fillId="0" borderId="6" xfId="0" applyNumberFormat="1" applyBorder="1" applyAlignment="1">
      <alignment horizontal="left" vertical="top" wrapText="1"/>
    </xf>
    <xf numFmtId="0" fontId="51" fillId="17" borderId="47" xfId="4" applyFont="1" applyFill="1" applyBorder="1" applyAlignment="1">
      <alignment horizontal="left" vertical="top" wrapText="1"/>
    </xf>
    <xf numFmtId="166" fontId="10" fillId="5" borderId="43" xfId="4" applyNumberFormat="1" applyFont="1" applyFill="1" applyBorder="1" applyAlignment="1">
      <alignment horizontal="center" vertical="top"/>
    </xf>
    <xf numFmtId="0" fontId="137" fillId="18" borderId="43" xfId="4" applyFont="1" applyFill="1" applyBorder="1" applyAlignment="1">
      <alignment horizontal="center" vertical="top"/>
    </xf>
    <xf numFmtId="0" fontId="137" fillId="17" borderId="50" xfId="4" applyFont="1" applyFill="1" applyBorder="1" applyAlignment="1">
      <alignment horizontal="left" vertical="center" wrapText="1"/>
    </xf>
    <xf numFmtId="0" fontId="105" fillId="0" borderId="0" xfId="0" applyFont="1" applyAlignment="1">
      <alignment horizontal="center" vertical="top" wrapText="1"/>
    </xf>
    <xf numFmtId="9" fontId="17" fillId="5" borderId="0" xfId="2" applyFont="1" applyFill="1" applyBorder="1" applyAlignment="1">
      <alignment horizontal="center" vertical="top" wrapText="1"/>
    </xf>
    <xf numFmtId="0" fontId="17" fillId="5" borderId="0" xfId="0" applyFont="1" applyFill="1" applyAlignment="1">
      <alignment horizontal="left" vertical="top" wrapText="1"/>
    </xf>
    <xf numFmtId="0" fontId="105" fillId="0" borderId="0" xfId="0" applyFont="1" applyAlignment="1">
      <alignment horizontal="center" vertical="top"/>
    </xf>
    <xf numFmtId="0" fontId="17" fillId="5" borderId="0" xfId="0" applyFont="1" applyFill="1" applyAlignment="1">
      <alignment horizontal="center" vertical="top" wrapText="1"/>
    </xf>
    <xf numFmtId="0" fontId="7" fillId="0" borderId="105" xfId="0" applyFont="1" applyBorder="1" applyAlignment="1">
      <alignment horizontal="center" vertical="top"/>
    </xf>
    <xf numFmtId="0" fontId="0" fillId="0" borderId="106" xfId="0" applyBorder="1" applyAlignment="1">
      <alignment vertical="top" wrapText="1"/>
    </xf>
    <xf numFmtId="0" fontId="0" fillId="12" borderId="106" xfId="0" applyFill="1" applyBorder="1" applyAlignment="1">
      <alignment vertical="top" wrapText="1"/>
    </xf>
    <xf numFmtId="10" fontId="19" fillId="5" borderId="106" xfId="2" applyNumberFormat="1" applyFont="1" applyFill="1" applyBorder="1" applyAlignment="1">
      <alignment horizontal="center" vertical="top" wrapText="1"/>
    </xf>
    <xf numFmtId="168" fontId="0" fillId="0" borderId="0" xfId="0" applyNumberFormat="1"/>
    <xf numFmtId="0" fontId="139" fillId="5" borderId="106" xfId="0" applyFont="1" applyFill="1" applyBorder="1" applyAlignment="1">
      <alignment vertical="top" wrapText="1"/>
    </xf>
    <xf numFmtId="0" fontId="138" fillId="5" borderId="106" xfId="0" applyFont="1" applyFill="1" applyBorder="1" applyAlignment="1">
      <alignment horizontal="center" vertical="top" wrapText="1"/>
    </xf>
    <xf numFmtId="9" fontId="138" fillId="5" borderId="106" xfId="2" applyFont="1" applyFill="1" applyBorder="1" applyAlignment="1">
      <alignment horizontal="center" vertical="top" wrapText="1"/>
    </xf>
    <xf numFmtId="0" fontId="138" fillId="5" borderId="106" xfId="0" applyFont="1" applyFill="1" applyBorder="1" applyAlignment="1">
      <alignment horizontal="left" vertical="top" wrapText="1"/>
    </xf>
    <xf numFmtId="0" fontId="138" fillId="5" borderId="106" xfId="0" applyFont="1" applyFill="1" applyBorder="1" applyAlignment="1">
      <alignment vertical="top" wrapText="1"/>
    </xf>
    <xf numFmtId="0" fontId="94" fillId="0" borderId="91" xfId="0" applyFont="1" applyBorder="1" applyAlignment="1">
      <alignment horizontal="center" vertical="top" wrapText="1"/>
    </xf>
    <xf numFmtId="0" fontId="94" fillId="0" borderId="91" xfId="0" applyFont="1" applyBorder="1" applyAlignment="1">
      <alignment horizontal="left" vertical="top" wrapText="1"/>
    </xf>
    <xf numFmtId="0" fontId="17" fillId="5" borderId="105" xfId="0" applyFont="1" applyFill="1" applyBorder="1" applyAlignment="1">
      <alignment horizontal="center" vertical="top" wrapText="1"/>
    </xf>
    <xf numFmtId="0" fontId="83" fillId="5" borderId="5" xfId="0" applyFont="1" applyFill="1" applyBorder="1" applyAlignment="1">
      <alignment horizontal="center" vertical="top" wrapText="1"/>
    </xf>
    <xf numFmtId="0" fontId="36" fillId="0" borderId="2" xfId="0" applyFont="1" applyBorder="1" applyAlignment="1">
      <alignment horizontal="left" vertical="top" wrapText="1"/>
    </xf>
    <xf numFmtId="0" fontId="83" fillId="10" borderId="2" xfId="0" applyFont="1" applyFill="1" applyBorder="1" applyAlignment="1">
      <alignment horizontal="center" vertical="top" wrapText="1"/>
    </xf>
    <xf numFmtId="3" fontId="83" fillId="5" borderId="2" xfId="0" applyNumberFormat="1" applyFont="1" applyFill="1" applyBorder="1" applyAlignment="1">
      <alignment horizontal="center" vertical="top" wrapText="1"/>
    </xf>
    <xf numFmtId="0" fontId="6" fillId="3" borderId="1" xfId="0" applyFont="1" applyFill="1" applyBorder="1" applyAlignment="1">
      <alignment vertical="center" wrapText="1"/>
    </xf>
    <xf numFmtId="0" fontId="6" fillId="3" borderId="5" xfId="0" applyFont="1" applyFill="1" applyBorder="1" applyAlignment="1">
      <alignment vertical="center" wrapText="1"/>
    </xf>
    <xf numFmtId="0" fontId="6" fillId="3" borderId="2" xfId="0" applyFont="1" applyFill="1" applyBorder="1" applyAlignment="1">
      <alignment vertical="center" wrapText="1"/>
    </xf>
    <xf numFmtId="0" fontId="6" fillId="3" borderId="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5" borderId="65" xfId="0" applyFont="1" applyFill="1" applyBorder="1" applyAlignment="1">
      <alignment horizontal="center" vertical="top" wrapText="1"/>
    </xf>
    <xf numFmtId="0" fontId="7" fillId="0" borderId="65" xfId="0" applyFont="1" applyBorder="1" applyAlignment="1">
      <alignment horizontal="center" vertical="top" wrapText="1"/>
    </xf>
    <xf numFmtId="0" fontId="7" fillId="0" borderId="65" xfId="0" applyFont="1" applyBorder="1" applyAlignment="1">
      <alignment vertical="top" wrapText="1"/>
    </xf>
    <xf numFmtId="9" fontId="7" fillId="5" borderId="65" xfId="2" applyFont="1" applyFill="1" applyBorder="1" applyAlignment="1">
      <alignment horizontal="center" vertical="top" wrapText="1"/>
    </xf>
    <xf numFmtId="0" fontId="7" fillId="5" borderId="89" xfId="0" applyFont="1" applyFill="1" applyBorder="1" applyAlignment="1">
      <alignment vertical="top" wrapText="1"/>
    </xf>
    <xf numFmtId="9" fontId="7" fillId="5" borderId="106" xfId="2" applyFont="1" applyFill="1" applyBorder="1" applyAlignment="1">
      <alignment horizontal="center" vertical="top" wrapText="1"/>
    </xf>
    <xf numFmtId="0" fontId="4" fillId="20" borderId="71" xfId="0" applyFont="1" applyFill="1" applyBorder="1" applyAlignment="1">
      <alignment vertical="center" wrapText="1"/>
    </xf>
    <xf numFmtId="0" fontId="4" fillId="20" borderId="72" xfId="0" applyFont="1" applyFill="1" applyBorder="1" applyAlignment="1">
      <alignment vertical="center" wrapText="1"/>
    </xf>
    <xf numFmtId="0" fontId="20" fillId="20" borderId="5" xfId="0" applyFont="1" applyFill="1" applyBorder="1" applyAlignment="1">
      <alignment vertical="center" wrapText="1"/>
    </xf>
    <xf numFmtId="0" fontId="20" fillId="20" borderId="36" xfId="0" applyFont="1" applyFill="1" applyBorder="1" applyAlignment="1">
      <alignment horizontal="center" vertical="center" wrapText="1"/>
    </xf>
    <xf numFmtId="0" fontId="20" fillId="20" borderId="13" xfId="0" applyFont="1" applyFill="1" applyBorder="1" applyAlignment="1">
      <alignment vertical="center" wrapText="1"/>
    </xf>
    <xf numFmtId="0" fontId="20" fillId="20" borderId="14" xfId="0" applyFont="1" applyFill="1" applyBorder="1" applyAlignment="1">
      <alignment vertical="center" wrapText="1"/>
    </xf>
    <xf numFmtId="0" fontId="0" fillId="5" borderId="65" xfId="0" applyFill="1" applyBorder="1" applyAlignment="1">
      <alignment vertical="top" wrapText="1"/>
    </xf>
    <xf numFmtId="0" fontId="0" fillId="5" borderId="65" xfId="0" applyFill="1" applyBorder="1" applyAlignment="1">
      <alignment horizontal="center" vertical="top"/>
    </xf>
    <xf numFmtId="0" fontId="0" fillId="21" borderId="65" xfId="0" applyFill="1" applyBorder="1" applyAlignment="1">
      <alignment horizontal="center" vertical="top"/>
    </xf>
    <xf numFmtId="9" fontId="0" fillId="21" borderId="65" xfId="2" applyFont="1" applyFill="1" applyBorder="1" applyAlignment="1">
      <alignment horizontal="center" vertical="top"/>
    </xf>
    <xf numFmtId="0" fontId="3" fillId="0" borderId="65" xfId="0" applyFont="1" applyBorder="1" applyAlignment="1">
      <alignment vertical="top"/>
    </xf>
    <xf numFmtId="0" fontId="0" fillId="5" borderId="106" xfId="0" applyFill="1" applyBorder="1" applyAlignment="1">
      <alignment horizontal="left" vertical="top" wrapText="1"/>
    </xf>
    <xf numFmtId="0" fontId="0" fillId="5" borderId="106" xfId="0" applyFill="1" applyBorder="1" applyAlignment="1">
      <alignment vertical="top" wrapText="1"/>
    </xf>
    <xf numFmtId="0" fontId="0" fillId="5" borderId="106" xfId="0" applyFill="1" applyBorder="1" applyAlignment="1">
      <alignment horizontal="center" vertical="top"/>
    </xf>
    <xf numFmtId="9" fontId="0" fillId="21" borderId="106" xfId="2" applyFont="1" applyFill="1" applyBorder="1" applyAlignment="1">
      <alignment horizontal="center" vertical="top"/>
    </xf>
    <xf numFmtId="0" fontId="0" fillId="0" borderId="106" xfId="0" applyBorder="1" applyAlignment="1">
      <alignment vertical="top"/>
    </xf>
    <xf numFmtId="0" fontId="0" fillId="21" borderId="106" xfId="0" applyFill="1" applyBorder="1" applyAlignment="1">
      <alignment horizontal="center" vertical="top"/>
    </xf>
    <xf numFmtId="0" fontId="4" fillId="5" borderId="106" xfId="0" applyFont="1" applyFill="1" applyBorder="1" applyAlignment="1">
      <alignment horizontal="right" vertical="top" wrapText="1"/>
    </xf>
    <xf numFmtId="0" fontId="4" fillId="5" borderId="106" xfId="0" applyFont="1" applyFill="1" applyBorder="1" applyAlignment="1">
      <alignment horizontal="center" vertical="top"/>
    </xf>
    <xf numFmtId="0" fontId="0" fillId="5" borderId="65" xfId="0" applyFill="1" applyBorder="1" applyAlignment="1">
      <alignment vertical="top"/>
    </xf>
    <xf numFmtId="0" fontId="0" fillId="5" borderId="106" xfId="0" applyFill="1" applyBorder="1" applyAlignment="1">
      <alignment vertical="top"/>
    </xf>
    <xf numFmtId="0" fontId="0" fillId="5" borderId="105" xfId="0" applyFill="1" applyBorder="1" applyAlignment="1">
      <alignment horizontal="center" vertical="top"/>
    </xf>
    <xf numFmtId="0" fontId="0" fillId="5" borderId="105" xfId="0" applyFill="1" applyBorder="1" applyAlignment="1">
      <alignment vertical="top" wrapText="1"/>
    </xf>
    <xf numFmtId="0" fontId="0" fillId="5" borderId="105" xfId="0" applyFill="1" applyBorder="1" applyAlignment="1">
      <alignment vertical="top"/>
    </xf>
    <xf numFmtId="0" fontId="0" fillId="10" borderId="65" xfId="0" applyFill="1" applyBorder="1" applyAlignment="1">
      <alignment horizontal="center" vertical="top"/>
    </xf>
    <xf numFmtId="0" fontId="0" fillId="10" borderId="65" xfId="0" applyFill="1" applyBorder="1" applyAlignment="1">
      <alignment horizontal="left" vertical="top" wrapText="1"/>
    </xf>
    <xf numFmtId="0" fontId="0" fillId="10" borderId="65" xfId="0" applyFill="1" applyBorder="1" applyAlignment="1">
      <alignment vertical="top" wrapText="1"/>
    </xf>
    <xf numFmtId="165" fontId="0" fillId="21" borderId="65" xfId="2" applyNumberFormat="1" applyFont="1" applyFill="1" applyBorder="1" applyAlignment="1">
      <alignment horizontal="center" vertical="top"/>
    </xf>
    <xf numFmtId="0" fontId="0" fillId="0" borderId="65" xfId="0" applyBorder="1" applyAlignment="1">
      <alignment vertical="top"/>
    </xf>
    <xf numFmtId="0" fontId="0" fillId="0" borderId="106" xfId="0" applyBorder="1" applyAlignment="1">
      <alignment horizontal="center" vertical="top"/>
    </xf>
    <xf numFmtId="0" fontId="0" fillId="0" borderId="105" xfId="0" applyBorder="1" applyAlignment="1">
      <alignment horizontal="center" vertical="top"/>
    </xf>
    <xf numFmtId="0" fontId="0" fillId="0" borderId="105" xfId="0" applyBorder="1" applyAlignment="1">
      <alignment vertical="top" wrapText="1"/>
    </xf>
    <xf numFmtId="0" fontId="0" fillId="0" borderId="105" xfId="0" applyBorder="1" applyAlignment="1">
      <alignment horizontal="center" vertical="top" wrapText="1"/>
    </xf>
    <xf numFmtId="0" fontId="0" fillId="21" borderId="105" xfId="0" applyFill="1" applyBorder="1" applyAlignment="1">
      <alignment horizontal="center" vertical="top"/>
    </xf>
    <xf numFmtId="9" fontId="0" fillId="21" borderId="105" xfId="2" applyFont="1" applyFill="1" applyBorder="1" applyAlignment="1">
      <alignment horizontal="center" vertical="top"/>
    </xf>
    <xf numFmtId="0" fontId="0" fillId="0" borderId="105" xfId="0" applyBorder="1" applyAlignment="1">
      <alignment vertical="top"/>
    </xf>
    <xf numFmtId="0" fontId="0" fillId="0" borderId="65" xfId="0" applyBorder="1" applyAlignment="1">
      <alignment horizontal="center" vertical="top"/>
    </xf>
    <xf numFmtId="0" fontId="0" fillId="0" borderId="65" xfId="0" applyBorder="1" applyAlignment="1">
      <alignment vertical="top" wrapText="1"/>
    </xf>
    <xf numFmtId="0" fontId="0" fillId="0" borderId="65" xfId="0" applyBorder="1" applyAlignment="1">
      <alignment horizontal="center" vertical="top" wrapText="1"/>
    </xf>
    <xf numFmtId="0" fontId="116" fillId="12" borderId="106" xfId="0" applyFont="1" applyFill="1" applyBorder="1" applyAlignment="1">
      <alignment vertical="top" wrapText="1"/>
    </xf>
    <xf numFmtId="0" fontId="0" fillId="0" borderId="0" xfId="0" applyAlignment="1">
      <alignment vertical="top"/>
    </xf>
    <xf numFmtId="0" fontId="116" fillId="12" borderId="106" xfId="0" applyFont="1" applyFill="1" applyBorder="1" applyAlignment="1">
      <alignment horizontal="center" vertical="top" wrapText="1"/>
    </xf>
    <xf numFmtId="9" fontId="118" fillId="12" borderId="106" xfId="2" applyFont="1" applyFill="1" applyBorder="1" applyAlignment="1">
      <alignment horizontal="center" vertical="top" wrapText="1"/>
    </xf>
    <xf numFmtId="0" fontId="116" fillId="12" borderId="106" xfId="0" applyFont="1" applyFill="1" applyBorder="1" applyAlignment="1">
      <alignment horizontal="left" vertical="top" wrapText="1"/>
    </xf>
    <xf numFmtId="0" fontId="147" fillId="30" borderId="0" xfId="0" applyFont="1" applyFill="1"/>
    <xf numFmtId="0" fontId="150" fillId="30" borderId="0" xfId="0" applyFont="1" applyFill="1" applyAlignment="1">
      <alignment vertical="center"/>
    </xf>
    <xf numFmtId="0" fontId="149" fillId="30" borderId="106" xfId="0" applyFont="1" applyFill="1" applyBorder="1" applyAlignment="1">
      <alignment horizontal="center" vertical="center" wrapText="1"/>
    </xf>
    <xf numFmtId="0" fontId="150" fillId="30" borderId="0" xfId="0" applyFont="1" applyFill="1" applyAlignment="1">
      <alignment vertical="center" wrapText="1"/>
    </xf>
    <xf numFmtId="49" fontId="151" fillId="0" borderId="0" xfId="0" applyNumberFormat="1" applyFont="1" applyAlignment="1">
      <alignment horizontal="center" vertical="top"/>
    </xf>
    <xf numFmtId="49" fontId="151" fillId="38" borderId="0" xfId="0" applyNumberFormat="1" applyFont="1" applyFill="1" applyAlignment="1">
      <alignment horizontal="left" vertical="top"/>
    </xf>
    <xf numFmtId="0" fontId="152" fillId="0" borderId="0" xfId="0" applyFont="1" applyAlignment="1">
      <alignment vertical="center"/>
    </xf>
    <xf numFmtId="0" fontId="151" fillId="38" borderId="0" xfId="0" applyFont="1" applyFill="1" applyAlignment="1">
      <alignment vertical="top"/>
    </xf>
    <xf numFmtId="0" fontId="151" fillId="38" borderId="0" xfId="0" applyFont="1" applyFill="1" applyAlignment="1">
      <alignment vertical="top" wrapText="1"/>
    </xf>
    <xf numFmtId="0" fontId="153" fillId="30" borderId="0" xfId="0" applyFont="1" applyFill="1"/>
    <xf numFmtId="41" fontId="147" fillId="30" borderId="0" xfId="0" applyNumberFormat="1" applyFont="1" applyFill="1"/>
    <xf numFmtId="49" fontId="151" fillId="37" borderId="117" xfId="0" applyNumberFormat="1" applyFont="1" applyFill="1" applyBorder="1" applyAlignment="1">
      <alignment horizontal="center" vertical="top"/>
    </xf>
    <xf numFmtId="0" fontId="151" fillId="37" borderId="118" xfId="0" applyFont="1" applyFill="1" applyBorder="1" applyAlignment="1">
      <alignment vertical="top"/>
    </xf>
    <xf numFmtId="49" fontId="154" fillId="0" borderId="0" xfId="0" applyNumberFormat="1" applyFont="1" applyAlignment="1">
      <alignment horizontal="center" vertical="center"/>
    </xf>
    <xf numFmtId="0" fontId="154" fillId="38" borderId="0" xfId="0" applyFont="1" applyFill="1" applyAlignment="1">
      <alignment vertical="center" wrapText="1"/>
    </xf>
    <xf numFmtId="0" fontId="154" fillId="0" borderId="0" xfId="0" applyFont="1"/>
    <xf numFmtId="0" fontId="131" fillId="30" borderId="0" xfId="0" applyFont="1" applyFill="1" applyAlignment="1">
      <alignment vertical="center"/>
    </xf>
    <xf numFmtId="0" fontId="131" fillId="0" borderId="0" xfId="0" applyFont="1" applyAlignment="1">
      <alignment vertical="center"/>
    </xf>
    <xf numFmtId="0" fontId="58" fillId="30" borderId="0" xfId="0" applyFont="1" applyFill="1" applyAlignment="1">
      <alignment vertical="center"/>
    </xf>
    <xf numFmtId="0" fontId="25" fillId="0" borderId="0" xfId="0" applyFont="1" applyAlignment="1">
      <alignment vertical="center"/>
    </xf>
    <xf numFmtId="0" fontId="58" fillId="30" borderId="0" xfId="0" applyFont="1" applyFill="1" applyAlignment="1">
      <alignment vertical="center" wrapText="1"/>
    </xf>
    <xf numFmtId="0" fontId="131" fillId="10" borderId="0" xfId="0" applyFont="1" applyFill="1" applyAlignment="1">
      <alignment horizontal="center" vertical="center" wrapText="1"/>
    </xf>
    <xf numFmtId="167" fontId="131" fillId="30" borderId="0" xfId="0" applyNumberFormat="1" applyFont="1" applyFill="1" applyAlignment="1">
      <alignment horizontal="center" vertical="center" wrapText="1"/>
    </xf>
    <xf numFmtId="0" fontId="131" fillId="30" borderId="0" xfId="0" applyFont="1" applyFill="1" applyAlignment="1">
      <alignment horizontal="center" vertical="center" wrapText="1"/>
    </xf>
    <xf numFmtId="0" fontId="155" fillId="30" borderId="0" xfId="0" applyFont="1" applyFill="1" applyAlignment="1">
      <alignment horizontal="center" vertical="center" wrapText="1"/>
    </xf>
    <xf numFmtId="0" fontId="131" fillId="30" borderId="0" xfId="0" applyFont="1" applyFill="1" applyAlignment="1">
      <alignment vertical="center" wrapText="1"/>
    </xf>
    <xf numFmtId="0" fontId="131" fillId="0" borderId="0" xfId="0" applyFont="1" applyAlignment="1">
      <alignment horizontal="center" vertical="center"/>
    </xf>
    <xf numFmtId="0" fontId="125" fillId="38" borderId="0" xfId="0" applyFont="1" applyFill="1" applyAlignment="1">
      <alignment vertical="center" wrapText="1"/>
    </xf>
    <xf numFmtId="0" fontId="155" fillId="0" borderId="0" xfId="0" applyFont="1" applyAlignment="1">
      <alignment vertical="center"/>
    </xf>
    <xf numFmtId="0" fontId="156" fillId="0" borderId="0" xfId="0" applyFont="1" applyAlignment="1">
      <alignment vertical="center"/>
    </xf>
    <xf numFmtId="0" fontId="131" fillId="0" borderId="0" xfId="0" applyFont="1" applyAlignment="1">
      <alignment vertical="center" wrapText="1"/>
    </xf>
    <xf numFmtId="0" fontId="155" fillId="0" borderId="0" xfId="0" applyFont="1" applyAlignment="1">
      <alignment vertical="center" wrapText="1"/>
    </xf>
    <xf numFmtId="0" fontId="156" fillId="0" borderId="0" xfId="0" applyFont="1" applyAlignment="1">
      <alignment vertical="center" wrapText="1"/>
    </xf>
    <xf numFmtId="0" fontId="131" fillId="39" borderId="118" xfId="0" applyFont="1" applyFill="1" applyBorder="1" applyAlignment="1">
      <alignment horizontal="center" vertical="center"/>
    </xf>
    <xf numFmtId="0" fontId="131" fillId="39" borderId="118" xfId="0" applyFont="1" applyFill="1" applyBorder="1" applyAlignment="1">
      <alignment vertical="center"/>
    </xf>
    <xf numFmtId="0" fontId="156" fillId="39" borderId="0" xfId="0" applyFont="1" applyFill="1" applyAlignment="1">
      <alignment vertical="center"/>
    </xf>
    <xf numFmtId="0" fontId="131" fillId="30" borderId="0" xfId="0" applyFont="1" applyFill="1" applyAlignment="1">
      <alignment horizontal="center" vertical="center"/>
    </xf>
    <xf numFmtId="0" fontId="155" fillId="0" borderId="0" xfId="0" applyFont="1" applyAlignment="1">
      <alignment horizontal="center" vertical="center"/>
    </xf>
    <xf numFmtId="0" fontId="156" fillId="0" borderId="0" xfId="0" applyFont="1" applyAlignment="1">
      <alignment horizontal="center" vertical="center"/>
    </xf>
    <xf numFmtId="0" fontId="131" fillId="0" borderId="0" xfId="0" applyFont="1" applyAlignment="1">
      <alignment horizontal="center" vertical="center" wrapText="1"/>
    </xf>
    <xf numFmtId="0" fontId="131" fillId="0" borderId="0" xfId="0" applyFont="1" applyAlignment="1">
      <alignment horizontal="left" vertical="center" wrapText="1"/>
    </xf>
    <xf numFmtId="41" fontId="131" fillId="0" borderId="0" xfId="0" applyNumberFormat="1" applyFont="1" applyAlignment="1">
      <alignment vertical="center" wrapText="1"/>
    </xf>
    <xf numFmtId="41" fontId="131" fillId="0" borderId="0" xfId="0" applyNumberFormat="1" applyFont="1" applyAlignment="1">
      <alignment horizontal="center" vertical="center" wrapText="1"/>
    </xf>
    <xf numFmtId="41" fontId="131" fillId="30" borderId="0" xfId="0" applyNumberFormat="1" applyFont="1" applyFill="1" applyAlignment="1">
      <alignment vertical="center" wrapText="1"/>
    </xf>
    <xf numFmtId="9" fontId="131" fillId="0" borderId="0" xfId="0" applyNumberFormat="1" applyFont="1" applyAlignment="1">
      <alignment vertical="center" wrapText="1"/>
    </xf>
    <xf numFmtId="0" fontId="155" fillId="9" borderId="118" xfId="0" applyFont="1" applyFill="1" applyBorder="1" applyAlignment="1">
      <alignment vertical="center" wrapText="1"/>
    </xf>
    <xf numFmtId="41" fontId="131" fillId="30" borderId="0" xfId="0" applyNumberFormat="1" applyFont="1" applyFill="1" applyAlignment="1">
      <alignment vertical="center"/>
    </xf>
    <xf numFmtId="0" fontId="126" fillId="0" borderId="0" xfId="0" applyFont="1" applyAlignment="1">
      <alignment vertical="center" wrapText="1"/>
    </xf>
    <xf numFmtId="41" fontId="131" fillId="39" borderId="118" xfId="0" applyNumberFormat="1" applyFont="1" applyFill="1" applyBorder="1" applyAlignment="1">
      <alignment vertical="center"/>
    </xf>
    <xf numFmtId="0" fontId="125" fillId="0" borderId="0" xfId="0" applyFont="1" applyAlignment="1">
      <alignment vertical="center"/>
    </xf>
    <xf numFmtId="0" fontId="131" fillId="38" borderId="0" xfId="0" applyFont="1" applyFill="1" applyAlignment="1">
      <alignment horizontal="center" vertical="center" wrapText="1"/>
    </xf>
    <xf numFmtId="0" fontId="131" fillId="39" borderId="118" xfId="0" applyFont="1" applyFill="1" applyBorder="1" applyAlignment="1">
      <alignment horizontal="center" vertical="center" wrapText="1"/>
    </xf>
    <xf numFmtId="0" fontId="131" fillId="39" borderId="118" xfId="0" applyFont="1" applyFill="1" applyBorder="1" applyAlignment="1">
      <alignment horizontal="right" vertical="center" wrapText="1"/>
    </xf>
    <xf numFmtId="0" fontId="131" fillId="39" borderId="118" xfId="0" applyFont="1" applyFill="1" applyBorder="1" applyAlignment="1">
      <alignment vertical="center" wrapText="1"/>
    </xf>
    <xf numFmtId="41" fontId="131" fillId="0" borderId="0" xfId="0" applyNumberFormat="1" applyFont="1" applyAlignment="1">
      <alignment horizontal="right" vertical="center" wrapText="1"/>
    </xf>
    <xf numFmtId="41" fontId="131" fillId="30" borderId="0" xfId="0" applyNumberFormat="1" applyFont="1" applyFill="1" applyAlignment="1">
      <alignment horizontal="right" vertical="center"/>
    </xf>
    <xf numFmtId="41" fontId="131" fillId="30" borderId="0" xfId="0" applyNumberFormat="1" applyFont="1" applyFill="1" applyAlignment="1">
      <alignment horizontal="right" vertical="center" wrapText="1"/>
    </xf>
    <xf numFmtId="41" fontId="131" fillId="39" borderId="118" xfId="0" applyNumberFormat="1" applyFont="1" applyFill="1" applyBorder="1" applyAlignment="1">
      <alignment horizontal="right" vertical="center" wrapText="1"/>
    </xf>
    <xf numFmtId="0" fontId="125" fillId="0" borderId="0" xfId="0" applyFont="1" applyAlignment="1">
      <alignment vertical="center" wrapText="1"/>
    </xf>
    <xf numFmtId="41" fontId="131" fillId="0" borderId="0" xfId="0" applyNumberFormat="1" applyFont="1" applyAlignment="1">
      <alignment vertical="center"/>
    </xf>
    <xf numFmtId="0" fontId="131" fillId="9" borderId="118" xfId="0" applyFont="1" applyFill="1" applyBorder="1" applyAlignment="1">
      <alignment vertical="center" wrapText="1"/>
    </xf>
    <xf numFmtId="41" fontId="131" fillId="9" borderId="118" xfId="0" applyNumberFormat="1" applyFont="1" applyFill="1" applyBorder="1" applyAlignment="1">
      <alignment vertical="center"/>
    </xf>
    <xf numFmtId="0" fontId="8" fillId="0" borderId="0" xfId="0" applyFont="1" applyAlignment="1">
      <alignment horizontal="center" vertical="center"/>
    </xf>
    <xf numFmtId="0" fontId="30" fillId="0" borderId="0" xfId="0" applyFont="1" applyAlignment="1">
      <alignment vertical="center" wrapText="1"/>
    </xf>
    <xf numFmtId="0" fontId="69" fillId="0" borderId="0" xfId="0" applyFont="1" applyAlignment="1">
      <alignment vertical="center" wrapText="1"/>
    </xf>
    <xf numFmtId="0" fontId="8" fillId="0" borderId="0" xfId="0" applyFont="1" applyAlignment="1">
      <alignment vertical="center"/>
    </xf>
    <xf numFmtId="0" fontId="131" fillId="0" borderId="0" xfId="0" applyFont="1" applyAlignment="1">
      <alignment horizontal="justify" vertical="center" wrapText="1"/>
    </xf>
    <xf numFmtId="0" fontId="126" fillId="39" borderId="0" xfId="0" applyFont="1" applyFill="1" applyAlignment="1">
      <alignment vertical="center"/>
    </xf>
    <xf numFmtId="0" fontId="131" fillId="39" borderId="120" xfId="0" applyFont="1" applyFill="1" applyBorder="1" applyAlignment="1">
      <alignment horizontal="center" vertical="center"/>
    </xf>
    <xf numFmtId="0" fontId="131" fillId="39" borderId="120" xfId="0" applyFont="1" applyFill="1" applyBorder="1" applyAlignment="1">
      <alignment vertical="center"/>
    </xf>
    <xf numFmtId="41" fontId="131" fillId="39" borderId="120" xfId="0" applyNumberFormat="1" applyFont="1" applyFill="1" applyBorder="1" applyAlignment="1">
      <alignment vertical="center"/>
    </xf>
    <xf numFmtId="0" fontId="156" fillId="39" borderId="118" xfId="0" applyFont="1" applyFill="1" applyBorder="1" applyAlignment="1">
      <alignment vertical="center"/>
    </xf>
    <xf numFmtId="0" fontId="125" fillId="39" borderId="118" xfId="0" applyFont="1" applyFill="1" applyBorder="1" applyAlignment="1">
      <alignment vertical="center"/>
    </xf>
    <xf numFmtId="0" fontId="126" fillId="39" borderId="118" xfId="0" applyFont="1" applyFill="1" applyBorder="1" applyAlignment="1">
      <alignment vertical="center"/>
    </xf>
    <xf numFmtId="0" fontId="157" fillId="0" borderId="0" xfId="0" applyFont="1" applyAlignment="1">
      <alignment vertical="center"/>
    </xf>
    <xf numFmtId="0" fontId="158" fillId="0" borderId="0" xfId="0" applyFont="1" applyAlignment="1">
      <alignment vertical="center" wrapText="1"/>
    </xf>
    <xf numFmtId="41" fontId="125" fillId="39" borderId="118" xfId="0" applyNumberFormat="1" applyFont="1" applyFill="1" applyBorder="1" applyAlignment="1">
      <alignment vertical="center"/>
    </xf>
    <xf numFmtId="0" fontId="131" fillId="36" borderId="118" xfId="0" applyFont="1" applyFill="1" applyBorder="1" applyAlignment="1">
      <alignment vertical="center"/>
    </xf>
    <xf numFmtId="0" fontId="156" fillId="12" borderId="0" xfId="0" applyFont="1" applyFill="1" applyAlignment="1">
      <alignment vertical="center"/>
    </xf>
    <xf numFmtId="0" fontId="131" fillId="12" borderId="0" xfId="0" applyFont="1" applyFill="1" applyAlignment="1">
      <alignment vertical="center"/>
    </xf>
    <xf numFmtId="0" fontId="52" fillId="0" borderId="0" xfId="0" applyFont="1" applyAlignment="1">
      <alignment horizontal="center" vertical="center"/>
    </xf>
    <xf numFmtId="0" fontId="159" fillId="0" borderId="0" xfId="0" applyFont="1" applyAlignment="1">
      <alignment vertical="center" wrapText="1"/>
    </xf>
    <xf numFmtId="0" fontId="160" fillId="0" borderId="0" xfId="0" applyFont="1" applyAlignment="1">
      <alignment vertical="center" wrapText="1"/>
    </xf>
    <xf numFmtId="0" fontId="160" fillId="0" borderId="0" xfId="0" applyFont="1" applyAlignment="1">
      <alignment vertical="center"/>
    </xf>
    <xf numFmtId="9" fontId="131" fillId="9" borderId="118" xfId="2" applyFont="1" applyFill="1" applyBorder="1" applyAlignment="1">
      <alignment horizontal="center" vertical="center" wrapText="1"/>
    </xf>
    <xf numFmtId="9" fontId="125" fillId="9" borderId="118" xfId="2" applyFont="1" applyFill="1" applyBorder="1" applyAlignment="1">
      <alignment vertical="center" wrapText="1"/>
    </xf>
    <xf numFmtId="41" fontId="125" fillId="9" borderId="118" xfId="0" applyNumberFormat="1" applyFont="1" applyFill="1" applyBorder="1" applyAlignment="1">
      <alignment vertical="center" wrapText="1"/>
    </xf>
    <xf numFmtId="0" fontId="161" fillId="9" borderId="118" xfId="0" applyFont="1" applyFill="1" applyBorder="1" applyAlignment="1">
      <alignment vertical="center"/>
    </xf>
    <xf numFmtId="0" fontId="131" fillId="9" borderId="118" xfId="0" applyFont="1" applyFill="1" applyBorder="1" applyAlignment="1">
      <alignment horizontal="center" vertical="center"/>
    </xf>
    <xf numFmtId="0" fontId="131" fillId="9" borderId="118" xfId="0" applyFont="1" applyFill="1" applyBorder="1" applyAlignment="1">
      <alignment vertical="center"/>
    </xf>
    <xf numFmtId="0" fontId="156" fillId="12" borderId="118" xfId="0" applyFont="1" applyFill="1" applyBorder="1" applyAlignment="1">
      <alignment vertical="center"/>
    </xf>
    <xf numFmtId="0" fontId="131" fillId="40" borderId="0" xfId="0" applyFont="1" applyFill="1" applyAlignment="1">
      <alignment vertical="center"/>
    </xf>
    <xf numFmtId="0" fontId="52" fillId="38" borderId="0" xfId="0" applyFont="1" applyFill="1" applyAlignment="1">
      <alignment horizontal="center" vertical="center" wrapText="1"/>
    </xf>
    <xf numFmtId="0" fontId="52" fillId="9" borderId="118" xfId="0" applyFont="1" applyFill="1" applyBorder="1" applyAlignment="1">
      <alignment horizontal="center" vertical="center" wrapText="1"/>
    </xf>
    <xf numFmtId="165" fontId="131" fillId="9" borderId="118" xfId="2" applyNumberFormat="1" applyFont="1" applyFill="1" applyBorder="1" applyAlignment="1">
      <alignment vertical="center"/>
    </xf>
    <xf numFmtId="0" fontId="131" fillId="38" borderId="0" xfId="0" applyFont="1" applyFill="1" applyAlignment="1">
      <alignment vertical="center" wrapText="1"/>
    </xf>
    <xf numFmtId="41" fontId="131" fillId="38" borderId="0" xfId="0" applyNumberFormat="1" applyFont="1" applyFill="1" applyAlignment="1">
      <alignment vertical="center" wrapText="1"/>
    </xf>
    <xf numFmtId="0" fontId="156" fillId="38" borderId="0" xfId="0" applyFont="1" applyFill="1" applyAlignment="1">
      <alignment vertical="center" wrapText="1"/>
    </xf>
    <xf numFmtId="0" fontId="52" fillId="0" borderId="0" xfId="0" applyFont="1" applyAlignment="1">
      <alignment vertical="center" wrapText="1"/>
    </xf>
    <xf numFmtId="41" fontId="52" fillId="0" borderId="0" xfId="0" applyNumberFormat="1" applyFont="1" applyAlignment="1">
      <alignment vertical="center" wrapText="1"/>
    </xf>
    <xf numFmtId="41" fontId="52" fillId="30" borderId="0" xfId="0" applyNumberFormat="1" applyFont="1" applyFill="1" applyAlignment="1">
      <alignment vertical="center" wrapText="1"/>
    </xf>
    <xf numFmtId="41" fontId="160" fillId="0" borderId="0" xfId="0" applyNumberFormat="1" applyFont="1" applyAlignment="1">
      <alignment vertical="center"/>
    </xf>
    <xf numFmtId="0" fontId="52" fillId="0" borderId="0" xfId="0" applyFont="1" applyAlignment="1">
      <alignment vertical="center"/>
    </xf>
    <xf numFmtId="0" fontId="52" fillId="38" borderId="0" xfId="0" applyFont="1" applyFill="1" applyAlignment="1">
      <alignment vertical="center" wrapText="1"/>
    </xf>
    <xf numFmtId="41" fontId="52" fillId="38" borderId="0" xfId="0" applyNumberFormat="1" applyFont="1" applyFill="1" applyAlignment="1">
      <alignment vertical="center"/>
    </xf>
    <xf numFmtId="41" fontId="52" fillId="30" borderId="0" xfId="0" applyNumberFormat="1" applyFont="1" applyFill="1" applyAlignment="1">
      <alignment vertical="center"/>
    </xf>
    <xf numFmtId="41" fontId="52" fillId="38" borderId="0" xfId="0" applyNumberFormat="1" applyFont="1" applyFill="1" applyAlignment="1">
      <alignment vertical="center" wrapText="1"/>
    </xf>
    <xf numFmtId="41" fontId="52" fillId="0" borderId="0" xfId="0" applyNumberFormat="1" applyFont="1" applyAlignment="1">
      <alignment vertical="center"/>
    </xf>
    <xf numFmtId="0" fontId="52" fillId="39" borderId="121" xfId="0" applyFont="1" applyFill="1" applyBorder="1" applyAlignment="1">
      <alignment horizontal="center" vertical="center"/>
    </xf>
    <xf numFmtId="0" fontId="52" fillId="9" borderId="121" xfId="0" applyFont="1" applyFill="1" applyBorder="1" applyAlignment="1">
      <alignment vertical="center" wrapText="1"/>
    </xf>
    <xf numFmtId="0" fontId="52" fillId="9" borderId="121" xfId="0" applyFont="1" applyFill="1" applyBorder="1" applyAlignment="1">
      <alignment vertical="center"/>
    </xf>
    <xf numFmtId="0" fontId="146" fillId="0" borderId="0" xfId="0" applyFont="1" applyAlignment="1">
      <alignment vertical="center"/>
    </xf>
    <xf numFmtId="0" fontId="8" fillId="0" borderId="93" xfId="0" applyFont="1" applyBorder="1" applyAlignment="1">
      <alignment horizontal="left" vertical="top" wrapText="1"/>
    </xf>
    <xf numFmtId="0" fontId="8" fillId="0" borderId="93" xfId="0" applyFont="1" applyBorder="1" applyAlignment="1">
      <alignment horizontal="center" vertical="top"/>
    </xf>
    <xf numFmtId="9" fontId="8" fillId="0" borderId="6" xfId="2" applyFont="1" applyFill="1" applyBorder="1" applyAlignment="1">
      <alignment horizontal="left" vertical="top" wrapText="1"/>
    </xf>
    <xf numFmtId="0" fontId="8" fillId="0" borderId="12" xfId="0" applyFont="1" applyBorder="1" applyAlignment="1">
      <alignment vertical="top" wrapText="1"/>
    </xf>
    <xf numFmtId="0" fontId="163" fillId="5" borderId="8" xfId="0" applyFont="1" applyFill="1" applyBorder="1" applyAlignment="1">
      <alignment vertical="top" wrapText="1"/>
    </xf>
    <xf numFmtId="9" fontId="4" fillId="0" borderId="0" xfId="2" applyFont="1"/>
    <xf numFmtId="9" fontId="0" fillId="0" borderId="0" xfId="0" applyNumberFormat="1"/>
    <xf numFmtId="0" fontId="12" fillId="0" borderId="0" xfId="0" applyFont="1"/>
    <xf numFmtId="0" fontId="36" fillId="4" borderId="37" xfId="0" applyFont="1" applyFill="1" applyBorder="1" applyAlignment="1">
      <alignment horizontal="center" vertical="center" wrapText="1"/>
    </xf>
    <xf numFmtId="9" fontId="36" fillId="0" borderId="65" xfId="2" applyFont="1" applyBorder="1" applyAlignment="1">
      <alignment horizontal="center" vertical="top" wrapText="1"/>
    </xf>
    <xf numFmtId="9" fontId="36" fillId="0" borderId="106" xfId="0" applyNumberFormat="1" applyFont="1" applyBorder="1" applyAlignment="1">
      <alignment horizontal="center" vertical="top" wrapText="1"/>
    </xf>
    <xf numFmtId="0" fontId="164" fillId="0" borderId="106" xfId="0" applyFont="1" applyBorder="1" applyAlignment="1">
      <alignment horizontal="left" vertical="top" wrapText="1"/>
    </xf>
    <xf numFmtId="0" fontId="164" fillId="0" borderId="105" xfId="0" applyFont="1" applyBorder="1" applyAlignment="1">
      <alignment horizontal="left" vertical="top" wrapText="1"/>
    </xf>
    <xf numFmtId="41" fontId="131" fillId="39" borderId="118" xfId="0" applyNumberFormat="1" applyFont="1" applyFill="1" applyBorder="1" applyAlignment="1">
      <alignment vertical="center" wrapText="1"/>
    </xf>
    <xf numFmtId="0" fontId="0" fillId="12" borderId="4" xfId="0" applyFill="1" applyBorder="1"/>
    <xf numFmtId="0" fontId="0" fillId="12" borderId="13" xfId="0" applyFill="1" applyBorder="1"/>
    <xf numFmtId="0" fontId="4" fillId="12" borderId="13" xfId="0" applyFont="1" applyFill="1" applyBorder="1" applyAlignment="1">
      <alignment horizontal="right" wrapText="1"/>
    </xf>
    <xf numFmtId="9" fontId="4" fillId="12" borderId="13" xfId="2" applyFont="1" applyFill="1" applyBorder="1" applyAlignment="1">
      <alignment horizontal="center"/>
    </xf>
    <xf numFmtId="0" fontId="0" fillId="12" borderId="14" xfId="0" applyFill="1" applyBorder="1"/>
    <xf numFmtId="9" fontId="83" fillId="0" borderId="14" xfId="0" applyNumberFormat="1" applyFont="1" applyBorder="1" applyAlignment="1">
      <alignment vertical="top" wrapText="1"/>
    </xf>
    <xf numFmtId="9" fontId="136" fillId="5" borderId="106" xfId="2" applyFont="1" applyFill="1" applyBorder="1" applyAlignment="1">
      <alignment horizontal="center" vertical="top" wrapText="1"/>
    </xf>
    <xf numFmtId="9" fontId="86" fillId="5" borderId="106" xfId="2" applyFont="1" applyFill="1" applyBorder="1" applyAlignment="1">
      <alignment horizontal="center" vertical="top" wrapText="1"/>
    </xf>
    <xf numFmtId="9" fontId="83" fillId="5" borderId="37" xfId="2" applyFont="1" applyFill="1" applyBorder="1" applyAlignment="1">
      <alignment horizontal="center" vertical="top" wrapText="1"/>
    </xf>
    <xf numFmtId="9" fontId="97" fillId="5" borderId="37" xfId="2" applyFont="1" applyFill="1" applyBorder="1" applyAlignment="1">
      <alignment horizontal="center" vertical="top" wrapText="1"/>
    </xf>
    <xf numFmtId="9" fontId="99" fillId="5" borderId="65" xfId="2" applyFont="1" applyFill="1" applyBorder="1" applyAlignment="1">
      <alignment horizontal="center" vertical="top" wrapText="1"/>
    </xf>
    <xf numFmtId="9" fontId="83" fillId="5" borderId="37" xfId="2" applyFont="1" applyFill="1" applyBorder="1" applyAlignment="1">
      <alignment horizontal="center" vertical="center" wrapText="1"/>
    </xf>
    <xf numFmtId="9" fontId="0" fillId="5" borderId="106" xfId="2" applyFont="1" applyFill="1" applyBorder="1" applyAlignment="1">
      <alignment horizontal="center" vertical="top" wrapText="1"/>
    </xf>
    <xf numFmtId="9" fontId="83" fillId="5" borderId="106" xfId="2" applyFont="1" applyFill="1" applyBorder="1" applyAlignment="1">
      <alignment horizontal="center" vertical="top" wrapText="1"/>
    </xf>
    <xf numFmtId="41" fontId="82" fillId="23" borderId="1" xfId="0" applyNumberFormat="1" applyFont="1" applyFill="1" applyBorder="1" applyAlignment="1">
      <alignment horizontal="center" vertical="center" wrapText="1"/>
    </xf>
    <xf numFmtId="0" fontId="82" fillId="23" borderId="106" xfId="0" applyFont="1" applyFill="1" applyBorder="1" applyAlignment="1">
      <alignment horizontal="center" vertical="center" wrapText="1"/>
    </xf>
    <xf numFmtId="0" fontId="36" fillId="23" borderId="106" xfId="0" applyFont="1" applyFill="1" applyBorder="1" applyAlignment="1">
      <alignment horizontal="center" vertical="center" wrapText="1"/>
    </xf>
    <xf numFmtId="9" fontId="96" fillId="0" borderId="14" xfId="0" applyNumberFormat="1" applyFont="1" applyBorder="1" applyAlignment="1">
      <alignment vertical="top" wrapText="1"/>
    </xf>
    <xf numFmtId="9" fontId="101" fillId="0" borderId="14" xfId="0" applyNumberFormat="1" applyFont="1" applyBorder="1" applyAlignment="1">
      <alignment horizontal="left" vertical="center" wrapText="1"/>
    </xf>
    <xf numFmtId="9" fontId="86" fillId="12" borderId="80" xfId="2" applyFont="1" applyFill="1" applyBorder="1" applyAlignment="1">
      <alignment horizontal="center" vertical="top" wrapText="1"/>
    </xf>
    <xf numFmtId="9" fontId="86" fillId="12" borderId="6" xfId="2" applyFont="1" applyFill="1" applyBorder="1" applyAlignment="1">
      <alignment horizontal="center" vertical="top" wrapText="1"/>
    </xf>
    <xf numFmtId="9" fontId="83" fillId="12" borderId="6" xfId="2" applyFont="1" applyFill="1" applyBorder="1" applyAlignment="1">
      <alignment horizontal="center" vertical="top" wrapText="1"/>
    </xf>
    <xf numFmtId="9" fontId="83" fillId="12" borderId="106" xfId="2" applyFont="1" applyFill="1" applyBorder="1" applyAlignment="1">
      <alignment horizontal="center" vertical="top" wrapText="1"/>
    </xf>
    <xf numFmtId="165" fontId="109" fillId="6" borderId="2" xfId="2" applyNumberFormat="1" applyFont="1" applyFill="1" applyBorder="1" applyAlignment="1">
      <alignment horizontal="center" vertical="center"/>
    </xf>
    <xf numFmtId="170" fontId="131" fillId="0" borderId="0" xfId="0" applyNumberFormat="1" applyFont="1" applyAlignment="1">
      <alignment vertical="center"/>
    </xf>
    <xf numFmtId="170" fontId="131" fillId="30" borderId="0" xfId="0" applyNumberFormat="1" applyFont="1" applyFill="1" applyAlignment="1">
      <alignment vertical="center"/>
    </xf>
    <xf numFmtId="170" fontId="125" fillId="39" borderId="118" xfId="0" applyNumberFormat="1" applyFont="1" applyFill="1" applyBorder="1" applyAlignment="1">
      <alignment vertical="center"/>
    </xf>
    <xf numFmtId="9" fontId="27" fillId="33" borderId="2" xfId="0" applyNumberFormat="1" applyFont="1" applyFill="1" applyBorder="1" applyAlignment="1">
      <alignment horizontal="center" vertical="top"/>
    </xf>
    <xf numFmtId="0" fontId="53" fillId="33" borderId="37" xfId="0" applyFont="1" applyFill="1" applyBorder="1" applyAlignment="1">
      <alignment wrapText="1"/>
    </xf>
    <xf numFmtId="0" fontId="134" fillId="33" borderId="37" xfId="0" applyFont="1" applyFill="1" applyBorder="1" applyAlignment="1">
      <alignment horizontal="center" vertical="top" wrapText="1"/>
    </xf>
    <xf numFmtId="0" fontId="53" fillId="35" borderId="2" xfId="0" applyFont="1" applyFill="1" applyBorder="1" applyAlignment="1">
      <alignment wrapText="1"/>
    </xf>
    <xf numFmtId="9" fontId="84" fillId="33" borderId="65" xfId="0" applyNumberFormat="1" applyFont="1" applyFill="1" applyBorder="1" applyAlignment="1">
      <alignment horizontal="center" vertical="top" wrapText="1"/>
    </xf>
    <xf numFmtId="9" fontId="26" fillId="0" borderId="89" xfId="0" applyNumberFormat="1" applyFont="1" applyBorder="1" applyAlignment="1">
      <alignment horizontal="left" vertical="top" wrapText="1"/>
    </xf>
    <xf numFmtId="0" fontId="94" fillId="0" borderId="106" xfId="0" applyFont="1" applyBorder="1" applyAlignment="1">
      <alignment wrapText="1"/>
    </xf>
    <xf numFmtId="9" fontId="53" fillId="33" borderId="65" xfId="0" applyNumberFormat="1" applyFont="1" applyFill="1" applyBorder="1" applyAlignment="1">
      <alignment vertical="top" wrapText="1"/>
    </xf>
    <xf numFmtId="9" fontId="53" fillId="33" borderId="105" xfId="0" applyNumberFormat="1" applyFont="1" applyFill="1" applyBorder="1" applyAlignment="1">
      <alignment vertical="top" wrapText="1"/>
    </xf>
    <xf numFmtId="9" fontId="53" fillId="33" borderId="14" xfId="0" applyNumberFormat="1" applyFont="1" applyFill="1" applyBorder="1" applyAlignment="1">
      <alignment wrapText="1"/>
    </xf>
    <xf numFmtId="0" fontId="137" fillId="33" borderId="65" xfId="0" applyFont="1" applyFill="1" applyBorder="1" applyAlignment="1">
      <alignment vertical="top" wrapText="1"/>
    </xf>
    <xf numFmtId="0" fontId="137" fillId="33" borderId="105" xfId="0" applyFont="1" applyFill="1" applyBorder="1" applyAlignment="1">
      <alignment horizontal="left" wrapText="1"/>
    </xf>
    <xf numFmtId="165" fontId="53" fillId="33" borderId="65" xfId="0" applyNumberFormat="1" applyFont="1" applyFill="1" applyBorder="1" applyAlignment="1">
      <alignment vertical="top" wrapText="1"/>
    </xf>
    <xf numFmtId="165" fontId="55" fillId="0" borderId="3" xfId="0" applyNumberFormat="1" applyFont="1" applyBorder="1" applyAlignment="1">
      <alignment vertical="top" wrapText="1"/>
    </xf>
    <xf numFmtId="9" fontId="94" fillId="33" borderId="65" xfId="0" applyNumberFormat="1" applyFont="1" applyFill="1" applyBorder="1" applyAlignment="1">
      <alignment vertical="top" wrapText="1"/>
    </xf>
    <xf numFmtId="9" fontId="94" fillId="33" borderId="106" xfId="0" applyNumberFormat="1" applyFont="1" applyFill="1" applyBorder="1" applyAlignment="1">
      <alignment vertical="top" wrapText="1"/>
    </xf>
    <xf numFmtId="9" fontId="134" fillId="33" borderId="14" xfId="0" applyNumberFormat="1" applyFont="1" applyFill="1" applyBorder="1" applyAlignment="1">
      <alignment horizontal="center" vertical="top" wrapText="1"/>
    </xf>
    <xf numFmtId="9" fontId="53" fillId="33" borderId="0" xfId="0" applyNumberFormat="1" applyFont="1" applyFill="1" applyAlignment="1">
      <alignment wrapText="1"/>
    </xf>
    <xf numFmtId="9" fontId="53" fillId="33" borderId="12" xfId="0" applyNumberFormat="1" applyFont="1" applyFill="1" applyBorder="1" applyAlignment="1">
      <alignment wrapText="1"/>
    </xf>
    <xf numFmtId="9" fontId="53" fillId="0" borderId="94" xfId="0" applyNumberFormat="1" applyFont="1" applyBorder="1" applyAlignment="1">
      <alignment horizontal="center" vertical="center"/>
    </xf>
    <xf numFmtId="9" fontId="94" fillId="33" borderId="14" xfId="2" applyFont="1" applyFill="1" applyBorder="1" applyAlignment="1">
      <alignment vertical="top" wrapText="1"/>
    </xf>
    <xf numFmtId="0" fontId="137" fillId="33" borderId="93" xfId="0" applyFont="1" applyFill="1" applyBorder="1" applyAlignment="1">
      <alignment horizontal="left" vertical="center" wrapText="1"/>
    </xf>
    <xf numFmtId="0" fontId="137" fillId="33" borderId="105" xfId="0" applyFont="1" applyFill="1" applyBorder="1" applyAlignment="1">
      <alignment wrapText="1"/>
    </xf>
    <xf numFmtId="9" fontId="53" fillId="0" borderId="94" xfId="0" applyNumberFormat="1" applyFont="1" applyBorder="1" applyAlignment="1">
      <alignment horizontal="left" vertical="center" wrapText="1"/>
    </xf>
    <xf numFmtId="0" fontId="51" fillId="33" borderId="93" xfId="0" applyFont="1" applyFill="1" applyBorder="1" applyAlignment="1">
      <alignment horizontal="left" vertical="center" wrapText="1"/>
    </xf>
    <xf numFmtId="0" fontId="53" fillId="41" borderId="1" xfId="0" applyFont="1" applyFill="1" applyBorder="1" applyAlignment="1">
      <alignment wrapText="1"/>
    </xf>
    <xf numFmtId="0" fontId="51" fillId="41" borderId="90" xfId="0" applyFont="1" applyFill="1" applyBorder="1"/>
    <xf numFmtId="0" fontId="55" fillId="41" borderId="90" xfId="0" applyFont="1" applyFill="1" applyBorder="1" applyAlignment="1">
      <alignment horizontal="center" vertical="center"/>
    </xf>
    <xf numFmtId="0" fontId="53" fillId="41" borderId="90" xfId="0" applyFont="1" applyFill="1" applyBorder="1" applyAlignment="1">
      <alignment horizontal="center" vertical="center"/>
    </xf>
    <xf numFmtId="3" fontId="133" fillId="41" borderId="90" xfId="0" applyNumberFormat="1" applyFont="1" applyFill="1" applyBorder="1" applyAlignment="1">
      <alignment horizontal="center" vertical="center"/>
    </xf>
    <xf numFmtId="0" fontId="53" fillId="41" borderId="13" xfId="0" applyFont="1" applyFill="1" applyBorder="1" applyAlignment="1">
      <alignment horizontal="center" vertical="center" wrapText="1"/>
    </xf>
    <xf numFmtId="9" fontId="134" fillId="41" borderId="13" xfId="0" applyNumberFormat="1" applyFont="1" applyFill="1" applyBorder="1" applyAlignment="1">
      <alignment horizontal="center" vertical="top" wrapText="1"/>
    </xf>
    <xf numFmtId="0" fontId="53" fillId="41" borderId="2" xfId="0" applyFont="1" applyFill="1" applyBorder="1" applyAlignment="1">
      <alignment wrapText="1"/>
    </xf>
    <xf numFmtId="9" fontId="53" fillId="41" borderId="94" xfId="0" applyNumberFormat="1" applyFont="1" applyFill="1" applyBorder="1" applyAlignment="1">
      <alignment horizontal="center" vertical="center"/>
    </xf>
    <xf numFmtId="9" fontId="53" fillId="41" borderId="2" xfId="0" applyNumberFormat="1" applyFont="1" applyFill="1" applyBorder="1" applyAlignment="1">
      <alignment wrapText="1"/>
    </xf>
    <xf numFmtId="9" fontId="61" fillId="5" borderId="65" xfId="2" applyFont="1" applyFill="1" applyBorder="1" applyAlignment="1">
      <alignment horizontal="center" vertical="top"/>
    </xf>
    <xf numFmtId="9" fontId="61" fillId="5" borderId="106" xfId="2" applyFont="1" applyFill="1" applyBorder="1" applyAlignment="1">
      <alignment horizontal="center" vertical="top"/>
    </xf>
    <xf numFmtId="165" fontId="65" fillId="6" borderId="106" xfId="2" applyNumberFormat="1" applyFont="1" applyFill="1" applyBorder="1" applyAlignment="1">
      <alignment horizontal="center" vertical="center"/>
    </xf>
    <xf numFmtId="165" fontId="61" fillId="5" borderId="65" xfId="2" applyNumberFormat="1" applyFont="1" applyFill="1" applyBorder="1" applyAlignment="1">
      <alignment horizontal="center" vertical="top"/>
    </xf>
    <xf numFmtId="165" fontId="67" fillId="5" borderId="65" xfId="2" applyNumberFormat="1" applyFont="1" applyFill="1" applyBorder="1" applyAlignment="1">
      <alignment horizontal="center" vertical="top"/>
    </xf>
    <xf numFmtId="165" fontId="61" fillId="6" borderId="106" xfId="2" applyNumberFormat="1" applyFont="1" applyFill="1" applyBorder="1" applyAlignment="1">
      <alignment horizontal="center" vertical="center"/>
    </xf>
    <xf numFmtId="165" fontId="61" fillId="5" borderId="80" xfId="2" applyNumberFormat="1" applyFont="1" applyFill="1" applyBorder="1" applyAlignment="1">
      <alignment horizontal="center" vertical="top"/>
    </xf>
    <xf numFmtId="165" fontId="61" fillId="5" borderId="0" xfId="2" applyNumberFormat="1" applyFont="1" applyFill="1" applyBorder="1" applyAlignment="1">
      <alignment horizontal="center" vertical="top"/>
    </xf>
    <xf numFmtId="165" fontId="61" fillId="5" borderId="88" xfId="2" applyNumberFormat="1" applyFont="1" applyFill="1" applyBorder="1" applyAlignment="1">
      <alignment horizontal="center" vertical="top"/>
    </xf>
    <xf numFmtId="9" fontId="61" fillId="5" borderId="65" xfId="2" applyFont="1" applyFill="1" applyBorder="1" applyAlignment="1">
      <alignment horizontal="center" vertical="top" wrapText="1"/>
    </xf>
    <xf numFmtId="9" fontId="61" fillId="12" borderId="65" xfId="2" applyFont="1" applyFill="1" applyBorder="1" applyAlignment="1">
      <alignment horizontal="center" vertical="top" wrapText="1"/>
    </xf>
    <xf numFmtId="165" fontId="65" fillId="6" borderId="3" xfId="2" applyNumberFormat="1" applyFont="1" applyFill="1" applyBorder="1" applyAlignment="1">
      <alignment horizontal="center" vertical="center"/>
    </xf>
    <xf numFmtId="165" fontId="70" fillId="5" borderId="0" xfId="2" applyNumberFormat="1" applyFont="1" applyFill="1" applyBorder="1" applyAlignment="1">
      <alignment horizontal="center" vertical="top" wrapText="1"/>
    </xf>
    <xf numFmtId="165" fontId="70" fillId="5" borderId="108" xfId="2" applyNumberFormat="1" applyFont="1" applyFill="1" applyBorder="1" applyAlignment="1">
      <alignment horizontal="center" vertical="top" wrapText="1"/>
    </xf>
    <xf numFmtId="10" fontId="70" fillId="5" borderId="0" xfId="2" applyNumberFormat="1" applyFont="1" applyFill="1" applyBorder="1" applyAlignment="1">
      <alignment horizontal="center" vertical="top" wrapText="1"/>
    </xf>
    <xf numFmtId="165" fontId="65" fillId="6" borderId="58" xfId="2" applyNumberFormat="1" applyFont="1" applyFill="1" applyBorder="1" applyAlignment="1">
      <alignment horizontal="center" vertical="center"/>
    </xf>
    <xf numFmtId="165" fontId="61" fillId="6" borderId="37" xfId="2" applyNumberFormat="1" applyFont="1" applyFill="1" applyBorder="1" applyAlignment="1">
      <alignment horizontal="center" vertical="center"/>
    </xf>
    <xf numFmtId="165" fontId="65" fillId="6" borderId="37" xfId="2" applyNumberFormat="1" applyFont="1" applyFill="1" applyBorder="1" applyAlignment="1">
      <alignment horizontal="center" vertical="center"/>
    </xf>
    <xf numFmtId="9" fontId="65" fillId="6" borderId="37" xfId="2" applyFont="1" applyFill="1" applyBorder="1" applyAlignment="1">
      <alignment horizontal="center" vertical="center"/>
    </xf>
    <xf numFmtId="165" fontId="61" fillId="6" borderId="97" xfId="2" applyNumberFormat="1" applyFont="1" applyFill="1" applyBorder="1" applyAlignment="1">
      <alignment horizontal="center" vertical="center"/>
    </xf>
    <xf numFmtId="41" fontId="59" fillId="6" borderId="1" xfId="0" applyNumberFormat="1" applyFont="1" applyFill="1" applyBorder="1" applyAlignment="1">
      <alignment horizontal="center" vertical="center" wrapText="1"/>
    </xf>
    <xf numFmtId="0" fontId="59" fillId="6" borderId="106" xfId="0" applyFont="1" applyFill="1" applyBorder="1" applyAlignment="1">
      <alignment horizontal="center" vertical="center" wrapText="1"/>
    </xf>
    <xf numFmtId="165" fontId="65" fillId="6" borderId="6" xfId="0" applyNumberFormat="1" applyFont="1" applyFill="1" applyBorder="1" applyAlignment="1">
      <alignment horizontal="left"/>
    </xf>
    <xf numFmtId="165" fontId="61" fillId="6" borderId="6" xfId="0" applyNumberFormat="1" applyFont="1" applyFill="1" applyBorder="1" applyAlignment="1">
      <alignment horizontal="left"/>
    </xf>
    <xf numFmtId="165" fontId="64" fillId="5" borderId="89" xfId="2" applyNumberFormat="1" applyFont="1" applyFill="1" applyBorder="1" applyAlignment="1">
      <alignment horizontal="center" vertical="top"/>
    </xf>
    <xf numFmtId="165" fontId="61" fillId="6" borderId="3" xfId="0" applyNumberFormat="1" applyFont="1" applyFill="1" applyBorder="1" applyAlignment="1">
      <alignment horizontal="left"/>
    </xf>
    <xf numFmtId="165" fontId="61" fillId="6" borderId="87" xfId="0" applyNumberFormat="1" applyFont="1" applyFill="1" applyBorder="1" applyAlignment="1">
      <alignment horizontal="left"/>
    </xf>
    <xf numFmtId="0" fontId="63" fillId="5" borderId="6" xfId="0" applyFont="1" applyFill="1" applyBorder="1" applyAlignment="1">
      <alignment horizontal="center" vertical="center" wrapText="1"/>
    </xf>
    <xf numFmtId="9" fontId="61" fillId="5" borderId="65" xfId="2" applyFont="1" applyFill="1" applyBorder="1" applyAlignment="1">
      <alignment horizontal="center" vertical="center"/>
    </xf>
    <xf numFmtId="9" fontId="63" fillId="5" borderId="6" xfId="2" applyFont="1" applyFill="1" applyBorder="1" applyAlignment="1">
      <alignment horizontal="center" vertical="center" wrapText="1"/>
    </xf>
    <xf numFmtId="165" fontId="61" fillId="6" borderId="14" xfId="0" applyNumberFormat="1" applyFont="1" applyFill="1" applyBorder="1" applyAlignment="1">
      <alignment horizontal="left"/>
    </xf>
    <xf numFmtId="165" fontId="65" fillId="6" borderId="37" xfId="2" applyNumberFormat="1" applyFont="1" applyFill="1" applyBorder="1" applyAlignment="1">
      <alignment horizontal="left" vertical="center"/>
    </xf>
    <xf numFmtId="165" fontId="65" fillId="6" borderId="14" xfId="0" applyNumberFormat="1" applyFont="1" applyFill="1" applyBorder="1" applyAlignment="1">
      <alignment horizontal="left"/>
    </xf>
    <xf numFmtId="165" fontId="65" fillId="6" borderId="14" xfId="0" applyNumberFormat="1" applyFont="1" applyFill="1" applyBorder="1" applyAlignment="1">
      <alignment horizontal="left" vertical="center"/>
    </xf>
    <xf numFmtId="9" fontId="61" fillId="5" borderId="89" xfId="2" applyFont="1" applyFill="1" applyBorder="1" applyAlignment="1">
      <alignment horizontal="center" vertical="top"/>
    </xf>
    <xf numFmtId="165" fontId="61" fillId="6" borderId="30" xfId="0" applyNumberFormat="1" applyFont="1" applyFill="1" applyBorder="1" applyAlignment="1">
      <alignment horizontal="left"/>
    </xf>
    <xf numFmtId="0" fontId="61" fillId="5" borderId="106" xfId="0" applyFont="1" applyFill="1" applyBorder="1" applyAlignment="1">
      <alignment horizontal="center" vertical="top" wrapText="1"/>
    </xf>
    <xf numFmtId="0" fontId="66" fillId="5" borderId="65" xfId="0" applyFont="1" applyFill="1" applyBorder="1" applyAlignment="1">
      <alignment horizontal="justify" vertical="top" wrapText="1"/>
    </xf>
    <xf numFmtId="0" fontId="66" fillId="5" borderId="65" xfId="0" applyFont="1" applyFill="1" applyBorder="1" applyAlignment="1">
      <alignment horizontal="center" vertical="top" wrapText="1"/>
    </xf>
    <xf numFmtId="0" fontId="63" fillId="5" borderId="96" xfId="0" applyFont="1" applyFill="1" applyBorder="1" applyAlignment="1">
      <alignment vertical="top" wrapText="1"/>
    </xf>
    <xf numFmtId="9" fontId="30" fillId="5" borderId="80" xfId="2" applyFont="1" applyFill="1" applyBorder="1" applyAlignment="1">
      <alignment horizontal="center" vertical="top" wrapText="1"/>
    </xf>
    <xf numFmtId="9" fontId="30" fillId="0" borderId="80" xfId="2" applyFont="1" applyBorder="1" applyAlignment="1">
      <alignment horizontal="center" vertical="top" wrapText="1"/>
    </xf>
    <xf numFmtId="9" fontId="30" fillId="0" borderId="82" xfId="2" applyFont="1" applyBorder="1" applyAlignment="1">
      <alignment horizontal="center" vertical="top" wrapText="1"/>
    </xf>
    <xf numFmtId="9" fontId="18" fillId="4" borderId="37" xfId="2" applyFont="1" applyFill="1" applyBorder="1" applyAlignment="1">
      <alignment horizontal="center" vertical="top" wrapText="1"/>
    </xf>
    <xf numFmtId="9" fontId="18" fillId="4" borderId="122" xfId="2" applyFont="1" applyFill="1" applyBorder="1" applyAlignment="1">
      <alignment horizontal="center" vertical="top" wrapText="1"/>
    </xf>
    <xf numFmtId="9" fontId="4" fillId="4" borderId="3" xfId="2" applyFont="1" applyFill="1" applyBorder="1" applyAlignment="1">
      <alignment horizontal="center" vertical="center"/>
    </xf>
    <xf numFmtId="9" fontId="30" fillId="4" borderId="14" xfId="0" applyNumberFormat="1" applyFont="1" applyFill="1" applyBorder="1" applyAlignment="1">
      <alignment horizontal="left" vertical="center" wrapText="1"/>
    </xf>
    <xf numFmtId="9" fontId="30" fillId="4" borderId="30" xfId="0" applyNumberFormat="1" applyFont="1" applyFill="1" applyBorder="1" applyAlignment="1">
      <alignment horizontal="left" vertical="top"/>
    </xf>
    <xf numFmtId="9" fontId="0" fillId="4" borderId="3" xfId="0" applyNumberFormat="1" applyFill="1" applyBorder="1" applyAlignment="1">
      <alignment horizontal="left"/>
    </xf>
    <xf numFmtId="165" fontId="4" fillId="4" borderId="3" xfId="2" applyNumberFormat="1" applyFont="1" applyFill="1" applyBorder="1" applyAlignment="1">
      <alignment horizontal="center" vertical="center"/>
    </xf>
    <xf numFmtId="0" fontId="21" fillId="21" borderId="37" xfId="0" applyFont="1" applyFill="1" applyBorder="1" applyAlignment="1">
      <alignment horizontal="center" vertical="center" wrapText="1"/>
    </xf>
    <xf numFmtId="9" fontId="58" fillId="23" borderId="2" xfId="0" applyNumberFormat="1" applyFont="1" applyFill="1" applyBorder="1" applyAlignment="1">
      <alignment horizontal="center" vertical="center" wrapText="1"/>
    </xf>
    <xf numFmtId="9" fontId="58" fillId="5" borderId="0" xfId="0" applyNumberFormat="1" applyFont="1" applyFill="1" applyAlignment="1">
      <alignment horizontal="center" vertical="center" wrapText="1"/>
    </xf>
    <xf numFmtId="9" fontId="58" fillId="23" borderId="37" xfId="0" applyNumberFormat="1" applyFont="1" applyFill="1" applyBorder="1" applyAlignment="1">
      <alignment horizontal="center" vertical="center" wrapText="1"/>
    </xf>
    <xf numFmtId="9" fontId="58" fillId="23" borderId="0" xfId="2" applyFont="1" applyFill="1" applyBorder="1" applyAlignment="1">
      <alignment horizontal="center" vertical="center" wrapText="1"/>
    </xf>
    <xf numFmtId="0" fontId="58" fillId="24" borderId="0" xfId="0" applyFont="1" applyFill="1" applyAlignment="1">
      <alignment horizontal="left" vertical="center" wrapText="1"/>
    </xf>
    <xf numFmtId="9" fontId="25" fillId="0" borderId="14" xfId="0" applyNumberFormat="1" applyFont="1" applyBorder="1" applyAlignment="1">
      <alignment horizontal="left" vertical="center" wrapText="1"/>
    </xf>
    <xf numFmtId="9" fontId="21" fillId="12" borderId="5" xfId="2" applyFont="1" applyFill="1" applyBorder="1" applyAlignment="1">
      <alignment horizontal="center" vertical="center" wrapText="1"/>
    </xf>
    <xf numFmtId="9" fontId="21" fillId="12" borderId="0" xfId="2" applyFont="1" applyFill="1" applyBorder="1" applyAlignment="1">
      <alignment horizontal="center" vertical="center" wrapText="1"/>
    </xf>
    <xf numFmtId="0" fontId="20" fillId="20" borderId="37" xfId="0" applyFont="1" applyFill="1" applyBorder="1" applyAlignment="1">
      <alignment vertical="center" wrapText="1"/>
    </xf>
    <xf numFmtId="9" fontId="0" fillId="5" borderId="65" xfId="2" applyFont="1" applyFill="1" applyBorder="1" applyAlignment="1">
      <alignment horizontal="center" vertical="top"/>
    </xf>
    <xf numFmtId="9" fontId="4" fillId="21" borderId="37" xfId="2" applyFont="1" applyFill="1" applyBorder="1" applyAlignment="1">
      <alignment horizontal="center" vertical="top"/>
    </xf>
    <xf numFmtId="165" fontId="4" fillId="21" borderId="76" xfId="2" applyNumberFormat="1" applyFont="1" applyFill="1" applyBorder="1" applyAlignment="1">
      <alignment horizontal="center" vertical="top"/>
    </xf>
    <xf numFmtId="9" fontId="0" fillId="0" borderId="106" xfId="0" applyNumberFormat="1" applyBorder="1" applyAlignment="1">
      <alignment horizontal="left" vertical="top"/>
    </xf>
    <xf numFmtId="9" fontId="4" fillId="5" borderId="106" xfId="2" applyFont="1" applyFill="1" applyBorder="1" applyAlignment="1">
      <alignment horizontal="center" vertical="top"/>
    </xf>
    <xf numFmtId="165" fontId="0" fillId="5" borderId="106" xfId="2" applyNumberFormat="1" applyFont="1" applyFill="1" applyBorder="1" applyAlignment="1">
      <alignment horizontal="center" vertical="top"/>
    </xf>
    <xf numFmtId="9" fontId="0" fillId="5" borderId="14" xfId="0" applyNumberFormat="1" applyFill="1" applyBorder="1" applyAlignment="1">
      <alignment horizontal="left" vertical="top"/>
    </xf>
    <xf numFmtId="9" fontId="0" fillId="0" borderId="14" xfId="0" applyNumberFormat="1" applyBorder="1" applyAlignment="1">
      <alignment horizontal="left" vertical="top"/>
    </xf>
    <xf numFmtId="9" fontId="0" fillId="21" borderId="105" xfId="0" applyNumberFormat="1" applyFill="1" applyBorder="1" applyAlignment="1">
      <alignment horizontal="center" vertical="top"/>
    </xf>
    <xf numFmtId="9" fontId="4" fillId="0" borderId="14" xfId="0" applyNumberFormat="1" applyFont="1" applyBorder="1" applyAlignment="1">
      <alignment horizontal="left" vertical="top"/>
    </xf>
    <xf numFmtId="0" fontId="49" fillId="17" borderId="64" xfId="0" applyFont="1" applyFill="1" applyBorder="1" applyAlignment="1">
      <alignment horizontal="center" vertical="top" wrapText="1"/>
    </xf>
    <xf numFmtId="0" fontId="49" fillId="17" borderId="65" xfId="0" applyFont="1" applyFill="1" applyBorder="1" applyAlignment="1">
      <alignment horizontal="left" vertical="top" wrapText="1"/>
    </xf>
    <xf numFmtId="9" fontId="49" fillId="5" borderId="0" xfId="2" applyFont="1" applyFill="1" applyBorder="1" applyAlignment="1" applyProtection="1">
      <alignment horizontal="center" vertical="top"/>
    </xf>
    <xf numFmtId="0" fontId="46" fillId="15" borderId="28" xfId="0" applyFont="1" applyFill="1" applyBorder="1" applyAlignment="1">
      <alignment vertical="center" wrapText="1"/>
    </xf>
    <xf numFmtId="0" fontId="46" fillId="16" borderId="11" xfId="0" applyFont="1" applyFill="1" applyBorder="1" applyAlignment="1">
      <alignment vertical="center" wrapText="1"/>
    </xf>
    <xf numFmtId="0" fontId="46" fillId="16" borderId="11" xfId="0" applyFont="1" applyFill="1" applyBorder="1" applyAlignment="1">
      <alignment horizontal="center" vertical="center" wrapText="1"/>
    </xf>
    <xf numFmtId="0" fontId="46" fillId="6" borderId="11" xfId="0" applyFont="1" applyFill="1" applyBorder="1" applyAlignment="1">
      <alignment horizontal="center" vertical="center" wrapText="1"/>
    </xf>
    <xf numFmtId="0" fontId="46" fillId="6" borderId="11" xfId="0" applyFont="1" applyFill="1" applyBorder="1" applyAlignment="1">
      <alignment vertical="center"/>
    </xf>
    <xf numFmtId="0" fontId="46" fillId="16" borderId="75" xfId="4" applyFont="1" applyFill="1" applyBorder="1" applyAlignment="1">
      <alignment vertical="center" wrapText="1"/>
    </xf>
    <xf numFmtId="0" fontId="49" fillId="17" borderId="24" xfId="0" applyFont="1" applyFill="1" applyBorder="1" applyAlignment="1">
      <alignment horizontal="center" vertical="top" wrapText="1"/>
    </xf>
    <xf numFmtId="9" fontId="49" fillId="5" borderId="106" xfId="2" applyFont="1" applyFill="1" applyBorder="1" applyAlignment="1" applyProtection="1">
      <alignment horizontal="center" vertical="top"/>
    </xf>
    <xf numFmtId="0" fontId="49" fillId="43" borderId="106" xfId="0" applyFont="1" applyFill="1" applyBorder="1" applyAlignment="1">
      <alignment horizontal="center" vertical="top" wrapText="1"/>
    </xf>
    <xf numFmtId="0" fontId="49" fillId="43" borderId="106" xfId="0" applyFont="1" applyFill="1" applyBorder="1" applyAlignment="1">
      <alignment vertical="top" wrapText="1"/>
    </xf>
    <xf numFmtId="0" fontId="49" fillId="43" borderId="106" xfId="0" applyFont="1" applyFill="1" applyBorder="1" applyAlignment="1">
      <alignment horizontal="center" vertical="top"/>
    </xf>
    <xf numFmtId="0" fontId="50" fillId="12" borderId="106" xfId="4" applyFont="1" applyFill="1" applyBorder="1" applyAlignment="1">
      <alignment horizontal="center" vertical="top"/>
    </xf>
    <xf numFmtId="0" fontId="49" fillId="44" borderId="106" xfId="4" applyFont="1" applyFill="1" applyBorder="1" applyAlignment="1">
      <alignment horizontal="center" vertical="top"/>
    </xf>
    <xf numFmtId="9" fontId="49" fillId="12" borderId="106" xfId="2" applyFont="1" applyFill="1" applyBorder="1" applyAlignment="1" applyProtection="1">
      <alignment horizontal="center" vertical="top"/>
    </xf>
    <xf numFmtId="9" fontId="49" fillId="5" borderId="123" xfId="2" applyFont="1" applyFill="1" applyBorder="1" applyAlignment="1" applyProtection="1">
      <alignment horizontal="center" vertical="top"/>
    </xf>
    <xf numFmtId="9" fontId="49" fillId="5" borderId="125" xfId="2" applyFont="1" applyFill="1" applyBorder="1" applyAlignment="1" applyProtection="1">
      <alignment horizontal="center" vertical="top"/>
    </xf>
    <xf numFmtId="0" fontId="46" fillId="6" borderId="97" xfId="0" applyFont="1" applyFill="1" applyBorder="1" applyAlignment="1">
      <alignment vertical="center" wrapText="1"/>
    </xf>
    <xf numFmtId="9" fontId="51" fillId="43" borderId="106" xfId="4" applyNumberFormat="1" applyFont="1" applyFill="1" applyBorder="1" applyAlignment="1">
      <alignment horizontal="left" vertical="center" wrapText="1"/>
    </xf>
    <xf numFmtId="9" fontId="52" fillId="12" borderId="43" xfId="4" applyNumberFormat="1" applyFont="1" applyFill="1" applyBorder="1" applyAlignment="1">
      <alignment horizontal="center" vertical="top"/>
    </xf>
    <xf numFmtId="9" fontId="52" fillId="18" borderId="43" xfId="2" applyFont="1" applyFill="1" applyBorder="1" applyAlignment="1">
      <alignment horizontal="center" vertical="top"/>
    </xf>
    <xf numFmtId="0" fontId="51" fillId="17" borderId="59" xfId="0" applyFont="1" applyFill="1" applyBorder="1" applyAlignment="1">
      <alignment horizontal="center" vertical="top" wrapText="1"/>
    </xf>
    <xf numFmtId="0" fontId="51" fillId="17" borderId="43" xfId="0" applyFont="1" applyFill="1" applyBorder="1" applyAlignment="1">
      <alignment vertical="top" wrapText="1"/>
    </xf>
    <xf numFmtId="0" fontId="51" fillId="17" borderId="43" xfId="0" applyFont="1" applyFill="1" applyBorder="1" applyAlignment="1">
      <alignment horizontal="left" vertical="top" wrapText="1"/>
    </xf>
    <xf numFmtId="0" fontId="51" fillId="17" borderId="43" xfId="0" applyFont="1" applyFill="1" applyBorder="1" applyAlignment="1">
      <alignment horizontal="center" vertical="top"/>
    </xf>
    <xf numFmtId="9" fontId="52" fillId="5" borderId="43" xfId="2" applyFont="1" applyFill="1" applyBorder="1" applyAlignment="1" applyProtection="1">
      <alignment horizontal="center" vertical="top"/>
    </xf>
    <xf numFmtId="0" fontId="51" fillId="17" borderId="106" xfId="0" applyFont="1" applyFill="1" applyBorder="1" applyAlignment="1">
      <alignment horizontal="center" vertical="top" wrapText="1"/>
    </xf>
    <xf numFmtId="0" fontId="51" fillId="17" borderId="106" xfId="0" applyFont="1" applyFill="1" applyBorder="1" applyAlignment="1">
      <alignment vertical="top" wrapText="1"/>
    </xf>
    <xf numFmtId="0" fontId="51" fillId="17" borderId="106" xfId="0" applyFont="1" applyFill="1" applyBorder="1" applyAlignment="1">
      <alignment horizontal="left" vertical="top" wrapText="1"/>
    </xf>
    <xf numFmtId="0" fontId="51" fillId="17" borderId="106" xfId="0" applyFont="1" applyFill="1" applyBorder="1" applyAlignment="1">
      <alignment horizontal="center" vertical="top"/>
    </xf>
    <xf numFmtId="9" fontId="52" fillId="12" borderId="106" xfId="4" applyNumberFormat="1" applyFont="1" applyFill="1" applyBorder="1" applyAlignment="1">
      <alignment horizontal="center" vertical="top"/>
    </xf>
    <xf numFmtId="9" fontId="52" fillId="18" borderId="106" xfId="2" applyFont="1" applyFill="1" applyBorder="1" applyAlignment="1">
      <alignment horizontal="center" vertical="top"/>
    </xf>
    <xf numFmtId="9" fontId="52" fillId="5" borderId="106" xfId="2" applyFont="1" applyFill="1" applyBorder="1" applyAlignment="1" applyProtection="1">
      <alignment horizontal="center" vertical="top"/>
    </xf>
    <xf numFmtId="9" fontId="51" fillId="17" borderId="106" xfId="4" applyNumberFormat="1" applyFont="1" applyFill="1" applyBorder="1" applyAlignment="1">
      <alignment horizontal="left" vertical="center" wrapText="1"/>
    </xf>
    <xf numFmtId="0" fontId="137" fillId="17" borderId="127" xfId="0" applyFont="1" applyFill="1" applyBorder="1" applyAlignment="1">
      <alignment vertical="top" wrapText="1"/>
    </xf>
    <xf numFmtId="0" fontId="137" fillId="17" borderId="127" xfId="0" applyFont="1" applyFill="1" applyBorder="1" applyAlignment="1">
      <alignment horizontal="center" vertical="top"/>
    </xf>
    <xf numFmtId="9" fontId="10" fillId="5" borderId="43" xfId="2" applyFont="1" applyFill="1" applyBorder="1" applyAlignment="1" applyProtection="1">
      <alignment horizontal="center" vertical="top"/>
    </xf>
    <xf numFmtId="0" fontId="137" fillId="43" borderId="106" xfId="0" applyFont="1" applyFill="1" applyBorder="1" applyAlignment="1">
      <alignment vertical="top" wrapText="1"/>
    </xf>
    <xf numFmtId="0" fontId="137" fillId="43" borderId="106" xfId="0" applyFont="1" applyFill="1" applyBorder="1" applyAlignment="1">
      <alignment horizontal="center" vertical="top"/>
    </xf>
    <xf numFmtId="166" fontId="10" fillId="12" borderId="106" xfId="4" applyNumberFormat="1" applyFont="1" applyFill="1" applyBorder="1" applyAlignment="1">
      <alignment horizontal="center" vertical="top"/>
    </xf>
    <xf numFmtId="0" fontId="137" fillId="44" borderId="106" xfId="4" applyFont="1" applyFill="1" applyBorder="1" applyAlignment="1">
      <alignment horizontal="center" vertical="top"/>
    </xf>
    <xf numFmtId="9" fontId="10" fillId="12" borderId="106" xfId="2" applyFont="1" applyFill="1" applyBorder="1" applyAlignment="1" applyProtection="1">
      <alignment horizontal="center" vertical="top"/>
    </xf>
    <xf numFmtId="9" fontId="137" fillId="43" borderId="106" xfId="4" applyNumberFormat="1" applyFont="1" applyFill="1" applyBorder="1" applyAlignment="1">
      <alignment horizontal="left" vertical="center" wrapText="1"/>
    </xf>
    <xf numFmtId="0" fontId="51" fillId="17" borderId="128" xfId="0" applyFont="1" applyFill="1" applyBorder="1" applyAlignment="1">
      <alignment vertical="center" wrapText="1"/>
    </xf>
    <xf numFmtId="0" fontId="49" fillId="5" borderId="129" xfId="4" applyFont="1" applyFill="1" applyBorder="1" applyAlignment="1">
      <alignment horizontal="center" vertical="center"/>
    </xf>
    <xf numFmtId="0" fontId="49" fillId="17" borderId="127" xfId="0" applyFont="1" applyFill="1" applyBorder="1" applyAlignment="1">
      <alignment horizontal="center" vertical="center"/>
    </xf>
    <xf numFmtId="0" fontId="49" fillId="43" borderId="106" xfId="0" applyFont="1" applyFill="1" applyBorder="1" applyAlignment="1">
      <alignment horizontal="center" vertical="center"/>
    </xf>
    <xf numFmtId="0" fontId="49" fillId="18" borderId="127" xfId="4" applyFont="1" applyFill="1" applyBorder="1" applyAlignment="1">
      <alignment horizontal="center" vertical="center"/>
    </xf>
    <xf numFmtId="9" fontId="49" fillId="5" borderId="128" xfId="2" applyFont="1" applyFill="1" applyBorder="1" applyAlignment="1" applyProtection="1">
      <alignment horizontal="center" vertical="center"/>
    </xf>
    <xf numFmtId="0" fontId="49" fillId="17" borderId="130" xfId="4" applyFont="1" applyFill="1" applyBorder="1" applyAlignment="1">
      <alignment vertical="center" wrapText="1"/>
    </xf>
    <xf numFmtId="0" fontId="0" fillId="12" borderId="106" xfId="0" applyFill="1" applyBorder="1"/>
    <xf numFmtId="0" fontId="54" fillId="12" borderId="106" xfId="0" applyFont="1" applyFill="1" applyBorder="1" applyAlignment="1">
      <alignment horizontal="right"/>
    </xf>
    <xf numFmtId="9" fontId="54" fillId="12" borderId="106" xfId="0" applyNumberFormat="1" applyFont="1" applyFill="1" applyBorder="1" applyAlignment="1">
      <alignment horizontal="center"/>
    </xf>
    <xf numFmtId="9" fontId="0" fillId="12" borderId="106" xfId="0" applyNumberFormat="1" applyFill="1" applyBorder="1" applyAlignment="1">
      <alignment horizontal="left"/>
    </xf>
    <xf numFmtId="0" fontId="49" fillId="43" borderId="106" xfId="0" applyFont="1" applyFill="1" applyBorder="1" applyAlignment="1">
      <alignment horizontal="left" vertical="top" wrapText="1"/>
    </xf>
    <xf numFmtId="0" fontId="49" fillId="12" borderId="106" xfId="4" applyFont="1" applyFill="1" applyBorder="1" applyAlignment="1">
      <alignment horizontal="center" vertical="center"/>
    </xf>
    <xf numFmtId="3" fontId="49" fillId="44" borderId="106" xfId="4" applyNumberFormat="1" applyFont="1" applyFill="1" applyBorder="1" applyAlignment="1">
      <alignment horizontal="center" vertical="center"/>
    </xf>
    <xf numFmtId="9" fontId="49" fillId="12" borderId="106" xfId="2" applyFont="1" applyFill="1" applyBorder="1" applyAlignment="1" applyProtection="1">
      <alignment horizontal="center" vertical="center"/>
    </xf>
    <xf numFmtId="9" fontId="49" fillId="43" borderId="106" xfId="4" applyNumberFormat="1" applyFont="1" applyFill="1" applyBorder="1" applyAlignment="1">
      <alignment horizontal="left" vertical="center" wrapText="1"/>
    </xf>
    <xf numFmtId="0" fontId="49" fillId="43" borderId="13" xfId="0" applyFont="1" applyFill="1" applyBorder="1" applyAlignment="1">
      <alignment horizontal="center" vertical="center"/>
    </xf>
    <xf numFmtId="0" fontId="49" fillId="44" borderId="13" xfId="4" applyFont="1" applyFill="1" applyBorder="1" applyAlignment="1">
      <alignment horizontal="center" vertical="center"/>
    </xf>
    <xf numFmtId="9" fontId="46" fillId="12" borderId="13" xfId="2" applyFont="1" applyFill="1" applyBorder="1" applyAlignment="1" applyProtection="1">
      <alignment horizontal="center" vertical="center"/>
    </xf>
    <xf numFmtId="9" fontId="49" fillId="12" borderId="123" xfId="2" applyFont="1" applyFill="1" applyBorder="1" applyAlignment="1" applyProtection="1">
      <alignment horizontal="center" vertical="top"/>
    </xf>
    <xf numFmtId="0" fontId="46" fillId="43" borderId="106" xfId="0" applyFont="1" applyFill="1" applyBorder="1" applyAlignment="1">
      <alignment horizontal="right" vertical="top" wrapText="1"/>
    </xf>
    <xf numFmtId="0" fontId="49" fillId="44" borderId="106" xfId="4" applyFont="1" applyFill="1" applyBorder="1" applyAlignment="1">
      <alignment horizontal="center" vertical="center"/>
    </xf>
    <xf numFmtId="9" fontId="46" fillId="12" borderId="106" xfId="2" applyFont="1" applyFill="1" applyBorder="1" applyAlignment="1" applyProtection="1">
      <alignment horizontal="center" vertical="center"/>
    </xf>
    <xf numFmtId="0" fontId="49" fillId="43" borderId="4" xfId="0" applyFont="1" applyFill="1" applyBorder="1" applyAlignment="1">
      <alignment vertical="center" wrapText="1"/>
    </xf>
    <xf numFmtId="0" fontId="49" fillId="43" borderId="13" xfId="0" applyFont="1" applyFill="1" applyBorder="1" applyAlignment="1">
      <alignment vertical="top" wrapText="1"/>
    </xf>
    <xf numFmtId="0" fontId="46" fillId="43" borderId="13" xfId="0" applyFont="1" applyFill="1" applyBorder="1" applyAlignment="1">
      <alignment horizontal="right" vertical="center" wrapText="1"/>
    </xf>
    <xf numFmtId="0" fontId="50" fillId="12" borderId="13" xfId="4" applyFont="1" applyFill="1" applyBorder="1" applyAlignment="1">
      <alignment horizontal="center" vertical="center"/>
    </xf>
    <xf numFmtId="9" fontId="49" fillId="43" borderId="14" xfId="4" applyNumberFormat="1" applyFont="1" applyFill="1" applyBorder="1" applyAlignment="1">
      <alignment horizontal="left" vertical="center"/>
    </xf>
    <xf numFmtId="9" fontId="0" fillId="12" borderId="106" xfId="0" applyNumberFormat="1" applyFill="1" applyBorder="1" applyAlignment="1">
      <alignment wrapText="1"/>
    </xf>
    <xf numFmtId="9" fontId="0" fillId="12" borderId="106" xfId="0" applyNumberFormat="1" applyFill="1" applyBorder="1" applyAlignment="1">
      <alignment horizontal="left" wrapText="1"/>
    </xf>
    <xf numFmtId="0" fontId="49" fillId="43" borderId="106" xfId="0" applyFont="1" applyFill="1" applyBorder="1" applyAlignment="1">
      <alignment vertical="top"/>
    </xf>
    <xf numFmtId="0" fontId="49" fillId="12" borderId="106" xfId="4" applyFont="1" applyFill="1" applyBorder="1" applyAlignment="1">
      <alignment vertical="top"/>
    </xf>
    <xf numFmtId="0" fontId="49" fillId="44" borderId="106" xfId="4" applyFont="1" applyFill="1" applyBorder="1" applyAlignment="1">
      <alignment vertical="top"/>
    </xf>
    <xf numFmtId="9" fontId="49" fillId="12" borderId="106" xfId="2" applyFont="1" applyFill="1" applyBorder="1" applyAlignment="1" applyProtection="1">
      <alignment vertical="top"/>
    </xf>
    <xf numFmtId="9" fontId="46" fillId="12" borderId="106" xfId="2" applyFont="1" applyFill="1" applyBorder="1" applyAlignment="1" applyProtection="1">
      <alignment horizontal="right" vertical="top"/>
    </xf>
    <xf numFmtId="0" fontId="0" fillId="0" borderId="0" xfId="0" applyAlignment="1">
      <alignment horizontal="right"/>
    </xf>
    <xf numFmtId="0" fontId="49" fillId="17" borderId="131" xfId="0" applyFont="1" applyFill="1" applyBorder="1" applyAlignment="1">
      <alignment horizontal="center" vertical="top" wrapText="1"/>
    </xf>
    <xf numFmtId="0" fontId="49" fillId="17" borderId="131" xfId="0" applyFont="1" applyFill="1" applyBorder="1" applyAlignment="1">
      <alignment horizontal="left" vertical="top" wrapText="1"/>
    </xf>
    <xf numFmtId="0" fontId="137" fillId="5" borderId="46" xfId="4" applyFont="1" applyFill="1" applyBorder="1" applyAlignment="1">
      <alignment horizontal="center" vertical="center"/>
    </xf>
    <xf numFmtId="0" fontId="137" fillId="5" borderId="55" xfId="4" applyFont="1" applyFill="1" applyBorder="1" applyAlignment="1">
      <alignment horizontal="center" vertical="center"/>
    </xf>
    <xf numFmtId="0" fontId="137" fillId="18" borderId="49" xfId="4" applyFont="1" applyFill="1" applyBorder="1" applyAlignment="1">
      <alignment horizontal="center" vertical="center"/>
    </xf>
    <xf numFmtId="9" fontId="49" fillId="5" borderId="124" xfId="2" applyFont="1" applyFill="1" applyBorder="1" applyAlignment="1" applyProtection="1">
      <alignment horizontal="center" vertical="center"/>
    </xf>
    <xf numFmtId="9" fontId="49" fillId="5" borderId="132" xfId="2" applyFont="1" applyFill="1" applyBorder="1" applyAlignment="1" applyProtection="1">
      <alignment horizontal="center" vertical="center"/>
    </xf>
    <xf numFmtId="9" fontId="49" fillId="5" borderId="106" xfId="2" applyFont="1" applyFill="1" applyBorder="1" applyAlignment="1" applyProtection="1">
      <alignment horizontal="center" vertical="center"/>
    </xf>
    <xf numFmtId="9" fontId="0" fillId="0" borderId="133" xfId="0" applyNumberFormat="1" applyBorder="1" applyAlignment="1">
      <alignment horizontal="center" vertical="top"/>
    </xf>
    <xf numFmtId="0" fontId="4" fillId="0" borderId="3" xfId="0" applyFont="1" applyBorder="1" applyAlignment="1">
      <alignment vertical="top" wrapText="1"/>
    </xf>
    <xf numFmtId="0" fontId="0" fillId="0" borderId="133" xfId="0" applyBorder="1" applyAlignment="1">
      <alignment horizontal="center" vertical="top"/>
    </xf>
    <xf numFmtId="0" fontId="0" fillId="0" borderId="133" xfId="0" applyBorder="1" applyAlignment="1">
      <alignment horizontal="left" vertical="top" wrapText="1"/>
    </xf>
    <xf numFmtId="0" fontId="0" fillId="0" borderId="133" xfId="0" applyBorder="1" applyAlignment="1">
      <alignment vertical="top" wrapText="1"/>
    </xf>
    <xf numFmtId="9" fontId="0" fillId="0" borderId="105" xfId="0" applyNumberFormat="1" applyBorder="1" applyAlignment="1">
      <alignment horizontal="center" vertical="top"/>
    </xf>
    <xf numFmtId="0" fontId="0" fillId="12" borderId="106" xfId="0" applyFill="1" applyBorder="1" applyAlignment="1">
      <alignment horizontal="center" vertical="top"/>
    </xf>
    <xf numFmtId="0" fontId="0" fillId="12" borderId="106" xfId="0" applyFill="1" applyBorder="1" applyAlignment="1">
      <alignment horizontal="left" vertical="top" wrapText="1"/>
    </xf>
    <xf numFmtId="9" fontId="0" fillId="12" borderId="106" xfId="0" applyNumberFormat="1" applyFill="1" applyBorder="1" applyAlignment="1">
      <alignment horizontal="center" vertical="top"/>
    </xf>
    <xf numFmtId="9" fontId="0" fillId="12" borderId="106" xfId="0" applyNumberFormat="1" applyFill="1" applyBorder="1" applyAlignment="1">
      <alignment vertical="top" wrapText="1"/>
    </xf>
    <xf numFmtId="0" fontId="4" fillId="6" borderId="31" xfId="0" applyFont="1" applyFill="1" applyBorder="1" applyAlignment="1">
      <alignment horizontal="left" vertical="center"/>
    </xf>
    <xf numFmtId="0" fontId="4" fillId="6" borderId="33" xfId="0" applyFont="1" applyFill="1" applyBorder="1" applyAlignment="1">
      <alignment horizontal="left" vertical="center"/>
    </xf>
    <xf numFmtId="0" fontId="4" fillId="6" borderId="33" xfId="0" applyFont="1" applyFill="1" applyBorder="1" applyAlignment="1">
      <alignment horizontal="center" vertical="center"/>
    </xf>
    <xf numFmtId="0" fontId="0" fillId="12" borderId="106" xfId="0" applyFill="1" applyBorder="1" applyAlignment="1">
      <alignment horizontal="center"/>
    </xf>
    <xf numFmtId="9" fontId="0" fillId="0" borderId="10" xfId="0" applyNumberFormat="1" applyBorder="1" applyAlignment="1">
      <alignment horizontal="left"/>
    </xf>
    <xf numFmtId="9" fontId="4" fillId="12" borderId="105" xfId="0" applyNumberFormat="1" applyFont="1" applyFill="1" applyBorder="1" applyAlignment="1">
      <alignment horizontal="center"/>
    </xf>
    <xf numFmtId="0" fontId="0" fillId="12" borderId="65" xfId="0" applyFill="1" applyBorder="1" applyAlignment="1">
      <alignment horizontal="center" vertical="top"/>
    </xf>
    <xf numFmtId="9" fontId="0" fillId="0" borderId="65" xfId="0" applyNumberFormat="1" applyBorder="1" applyAlignment="1">
      <alignment horizontal="center" vertical="top"/>
    </xf>
    <xf numFmtId="9" fontId="4" fillId="12" borderId="106" xfId="0" applyNumberFormat="1" applyFont="1" applyFill="1" applyBorder="1" applyAlignment="1">
      <alignment horizontal="center"/>
    </xf>
    <xf numFmtId="9" fontId="0" fillId="12" borderId="106" xfId="0" applyNumberFormat="1" applyFill="1" applyBorder="1"/>
    <xf numFmtId="9" fontId="4" fillId="12" borderId="106" xfId="0" applyNumberFormat="1" applyFont="1" applyFill="1" applyBorder="1" applyAlignment="1">
      <alignment horizontal="left"/>
    </xf>
    <xf numFmtId="0" fontId="4" fillId="12" borderId="106" xfId="0" applyFont="1" applyFill="1" applyBorder="1" applyAlignment="1">
      <alignment horizontal="center" vertical="top"/>
    </xf>
    <xf numFmtId="0" fontId="4" fillId="12" borderId="106" xfId="0" applyFont="1" applyFill="1" applyBorder="1"/>
    <xf numFmtId="0" fontId="4" fillId="12" borderId="106" xfId="0" applyFont="1" applyFill="1" applyBorder="1" applyAlignment="1">
      <alignment horizontal="center"/>
    </xf>
    <xf numFmtId="0" fontId="4" fillId="12" borderId="106" xfId="0" applyFont="1" applyFill="1" applyBorder="1" applyAlignment="1">
      <alignment horizontal="right"/>
    </xf>
    <xf numFmtId="0" fontId="8" fillId="12" borderId="106" xfId="0" applyFont="1" applyFill="1" applyBorder="1" applyAlignment="1">
      <alignment horizontal="center" vertical="top"/>
    </xf>
    <xf numFmtId="0" fontId="8" fillId="12" borderId="106" xfId="0" applyFont="1" applyFill="1" applyBorder="1"/>
    <xf numFmtId="0" fontId="32" fillId="12" borderId="106" xfId="0" applyFont="1" applyFill="1" applyBorder="1" applyAlignment="1">
      <alignment horizontal="right"/>
    </xf>
    <xf numFmtId="0" fontId="8" fillId="12" borderId="106" xfId="0" applyFont="1" applyFill="1" applyBorder="1" applyAlignment="1">
      <alignment horizontal="center"/>
    </xf>
    <xf numFmtId="9" fontId="32" fillId="12" borderId="106" xfId="0" applyNumberFormat="1" applyFont="1" applyFill="1" applyBorder="1" applyAlignment="1">
      <alignment horizontal="center"/>
    </xf>
    <xf numFmtId="9" fontId="32" fillId="12" borderId="106" xfId="0" applyNumberFormat="1" applyFont="1" applyFill="1" applyBorder="1" applyAlignment="1">
      <alignment horizontal="left"/>
    </xf>
    <xf numFmtId="0" fontId="4" fillId="12" borderId="10" xfId="0" applyFont="1" applyFill="1" applyBorder="1" applyAlignment="1">
      <alignment horizontal="left" vertical="top"/>
    </xf>
    <xf numFmtId="0" fontId="4" fillId="12" borderId="10" xfId="0" applyFont="1" applyFill="1" applyBorder="1" applyAlignment="1">
      <alignment horizontal="left"/>
    </xf>
    <xf numFmtId="0" fontId="4" fillId="12" borderId="105" xfId="0" applyFont="1" applyFill="1" applyBorder="1" applyAlignment="1">
      <alignment horizontal="left"/>
    </xf>
    <xf numFmtId="9" fontId="4" fillId="12" borderId="10" xfId="0" applyNumberFormat="1" applyFont="1" applyFill="1" applyBorder="1" applyAlignment="1">
      <alignment horizontal="left"/>
    </xf>
    <xf numFmtId="165" fontId="38" fillId="5" borderId="65" xfId="2" applyNumberFormat="1" applyFont="1" applyFill="1" applyBorder="1" applyAlignment="1">
      <alignment horizontal="center" vertical="top"/>
    </xf>
    <xf numFmtId="0" fontId="37" fillId="4" borderId="0" xfId="0" applyFont="1" applyFill="1" applyAlignment="1">
      <alignment vertical="center" wrapText="1"/>
    </xf>
    <xf numFmtId="0" fontId="37" fillId="4" borderId="134" xfId="0" applyFont="1" applyFill="1" applyBorder="1" applyAlignment="1">
      <alignment vertical="center" wrapText="1"/>
    </xf>
    <xf numFmtId="165" fontId="37" fillId="4" borderId="3" xfId="0" applyNumberFormat="1" applyFont="1" applyFill="1" applyBorder="1" applyAlignment="1">
      <alignment horizontal="center" vertical="center" wrapText="1"/>
    </xf>
    <xf numFmtId="165" fontId="37" fillId="4" borderId="134" xfId="0" applyNumberFormat="1" applyFont="1" applyFill="1" applyBorder="1" applyAlignment="1">
      <alignment vertical="center" wrapText="1"/>
    </xf>
    <xf numFmtId="9" fontId="32" fillId="9" borderId="33" xfId="2" applyFont="1" applyFill="1" applyBorder="1" applyAlignment="1">
      <alignment horizontal="center" vertical="center" wrapText="1"/>
    </xf>
    <xf numFmtId="9" fontId="8" fillId="9" borderId="65" xfId="2" applyFont="1" applyFill="1" applyBorder="1" applyAlignment="1">
      <alignment horizontal="center" vertical="top" wrapText="1"/>
    </xf>
    <xf numFmtId="9" fontId="8" fillId="9" borderId="106" xfId="2" applyFont="1" applyFill="1" applyBorder="1" applyAlignment="1">
      <alignment horizontal="center" vertical="top" wrapText="1"/>
    </xf>
    <xf numFmtId="9" fontId="8" fillId="9" borderId="131" xfId="2" applyFont="1" applyFill="1" applyBorder="1" applyAlignment="1">
      <alignment horizontal="center" vertical="top" wrapText="1"/>
    </xf>
    <xf numFmtId="9" fontId="8" fillId="9" borderId="133" xfId="2" applyFont="1" applyFill="1" applyBorder="1" applyAlignment="1">
      <alignment horizontal="center" vertical="top" wrapText="1"/>
    </xf>
    <xf numFmtId="0" fontId="8" fillId="0" borderId="131" xfId="0" applyFont="1" applyBorder="1" applyAlignment="1">
      <alignment horizontal="center" vertical="top" wrapText="1"/>
    </xf>
    <xf numFmtId="0" fontId="8" fillId="0" borderId="131" xfId="0" applyFont="1" applyBorder="1" applyAlignment="1">
      <alignment horizontal="left" vertical="top" wrapText="1"/>
    </xf>
    <xf numFmtId="0" fontId="8" fillId="0" borderId="131" xfId="0" applyFont="1" applyBorder="1" applyAlignment="1">
      <alignment horizontal="center" vertical="top"/>
    </xf>
    <xf numFmtId="41" fontId="8" fillId="9" borderId="131" xfId="0" applyNumberFormat="1" applyFont="1" applyFill="1" applyBorder="1" applyAlignment="1">
      <alignment vertical="top" wrapText="1"/>
    </xf>
    <xf numFmtId="0" fontId="8" fillId="11" borderId="131" xfId="0" applyFont="1" applyFill="1" applyBorder="1" applyAlignment="1">
      <alignment vertical="top" wrapText="1"/>
    </xf>
    <xf numFmtId="0" fontId="8" fillId="12" borderId="106" xfId="0" applyFont="1" applyFill="1" applyBorder="1" applyAlignment="1">
      <alignment horizontal="center" vertical="top" wrapText="1"/>
    </xf>
    <xf numFmtId="0" fontId="8" fillId="12" borderId="106" xfId="0" applyFont="1" applyFill="1" applyBorder="1" applyAlignment="1">
      <alignment horizontal="left" vertical="top" wrapText="1"/>
    </xf>
    <xf numFmtId="9" fontId="8" fillId="12" borderId="106" xfId="2" applyFont="1" applyFill="1" applyBorder="1" applyAlignment="1">
      <alignment horizontal="center" vertical="top" wrapText="1"/>
    </xf>
    <xf numFmtId="41" fontId="8" fillId="9" borderId="131" xfId="0" applyNumberFormat="1" applyFont="1" applyFill="1" applyBorder="1" applyAlignment="1">
      <alignment horizontal="center" vertical="top" wrapText="1"/>
    </xf>
    <xf numFmtId="0" fontId="8" fillId="11" borderId="133" xfId="0" applyFont="1" applyFill="1" applyBorder="1" applyAlignment="1">
      <alignment horizontal="left" vertical="top" wrapText="1"/>
    </xf>
    <xf numFmtId="41" fontId="8" fillId="12" borderId="106" xfId="0" applyNumberFormat="1" applyFont="1" applyFill="1" applyBorder="1" applyAlignment="1">
      <alignment horizontal="center" vertical="top" wrapText="1"/>
    </xf>
    <xf numFmtId="9" fontId="8" fillId="12" borderId="106" xfId="0" applyNumberFormat="1" applyFont="1" applyFill="1" applyBorder="1" applyAlignment="1">
      <alignment horizontal="left" vertical="top" wrapText="1"/>
    </xf>
    <xf numFmtId="41" fontId="8" fillId="12" borderId="106" xfId="0" applyNumberFormat="1" applyFont="1" applyFill="1" applyBorder="1" applyAlignment="1">
      <alignment horizontal="left" vertical="top" wrapText="1"/>
    </xf>
    <xf numFmtId="0" fontId="0" fillId="12" borderId="106" xfId="0" applyFill="1" applyBorder="1" applyAlignment="1">
      <alignment horizontal="right"/>
    </xf>
    <xf numFmtId="0" fontId="125" fillId="45" borderId="118" xfId="0" applyFont="1" applyFill="1" applyBorder="1" applyAlignment="1">
      <alignment horizontal="center" vertical="center"/>
    </xf>
    <xf numFmtId="0" fontId="125" fillId="45" borderId="118" xfId="0" applyFont="1" applyFill="1" applyBorder="1" applyAlignment="1">
      <alignment horizontal="justify" vertical="center" wrapText="1"/>
    </xf>
    <xf numFmtId="41" fontId="131" fillId="45" borderId="118" xfId="0" applyNumberFormat="1" applyFont="1" applyFill="1" applyBorder="1" applyAlignment="1">
      <alignment vertical="center"/>
    </xf>
    <xf numFmtId="0" fontId="131" fillId="45" borderId="118" xfId="0" applyFont="1" applyFill="1" applyBorder="1" applyAlignment="1">
      <alignment horizontal="center" vertical="center"/>
    </xf>
    <xf numFmtId="0" fontId="155" fillId="45" borderId="118" xfId="0" applyFont="1" applyFill="1" applyBorder="1" applyAlignment="1">
      <alignment vertical="center" wrapText="1"/>
    </xf>
    <xf numFmtId="0" fontId="125" fillId="45" borderId="118" xfId="0" applyFont="1" applyFill="1" applyBorder="1" applyAlignment="1">
      <alignment vertical="center"/>
    </xf>
    <xf numFmtId="0" fontId="156" fillId="45" borderId="118" xfId="0" applyFont="1" applyFill="1" applyBorder="1" applyAlignment="1">
      <alignment vertical="center"/>
    </xf>
    <xf numFmtId="0" fontId="65" fillId="6" borderId="0" xfId="0" applyFont="1" applyFill="1" applyAlignment="1">
      <alignment horizontal="center" vertical="center" wrapText="1"/>
    </xf>
    <xf numFmtId="9" fontId="19" fillId="5" borderId="137" xfId="2" applyFont="1" applyFill="1" applyBorder="1" applyAlignment="1">
      <alignment horizontal="center" vertical="top" wrapText="1"/>
    </xf>
    <xf numFmtId="41" fontId="67" fillId="0" borderId="0" xfId="0" applyNumberFormat="1" applyFont="1" applyAlignment="1">
      <alignment vertical="center" wrapText="1"/>
    </xf>
    <xf numFmtId="0" fontId="126" fillId="39" borderId="118" xfId="0" applyFont="1" applyFill="1" applyBorder="1" applyAlignment="1">
      <alignment vertical="center" wrapText="1"/>
    </xf>
    <xf numFmtId="165" fontId="131" fillId="39" borderId="118" xfId="2" applyNumberFormat="1" applyFont="1" applyFill="1" applyBorder="1" applyAlignment="1">
      <alignment horizontal="center" vertical="center"/>
    </xf>
    <xf numFmtId="0" fontId="21" fillId="5" borderId="2" xfId="0" applyFont="1" applyFill="1" applyBorder="1" applyAlignment="1">
      <alignment horizontal="center" vertical="center" wrapText="1"/>
    </xf>
    <xf numFmtId="9" fontId="22" fillId="5" borderId="88" xfId="2" applyFont="1" applyFill="1" applyBorder="1" applyAlignment="1">
      <alignment horizontal="center" vertical="top" wrapText="1"/>
    </xf>
    <xf numFmtId="0" fontId="0" fillId="5" borderId="0" xfId="0" applyFill="1"/>
    <xf numFmtId="0" fontId="20" fillId="9" borderId="13" xfId="0" applyFont="1" applyFill="1" applyBorder="1" applyAlignment="1">
      <alignment vertical="top"/>
    </xf>
    <xf numFmtId="0" fontId="20" fillId="9" borderId="13" xfId="0" applyFont="1" applyFill="1" applyBorder="1" applyAlignment="1">
      <alignment horizontal="right" vertical="top"/>
    </xf>
    <xf numFmtId="9" fontId="20" fillId="9" borderId="14" xfId="0" applyNumberFormat="1" applyFont="1" applyFill="1" applyBorder="1" applyAlignment="1">
      <alignment horizontal="left" vertical="top" wrapText="1"/>
    </xf>
    <xf numFmtId="9" fontId="7" fillId="3" borderId="65" xfId="2" applyFont="1" applyFill="1" applyBorder="1" applyAlignment="1">
      <alignment horizontal="center" vertical="top" wrapText="1"/>
    </xf>
    <xf numFmtId="2" fontId="7" fillId="0" borderId="0" xfId="2" applyNumberFormat="1" applyFont="1" applyFill="1" applyBorder="1" applyAlignment="1">
      <alignment wrapText="1"/>
    </xf>
    <xf numFmtId="9" fontId="6" fillId="3" borderId="13" xfId="2" applyFont="1" applyFill="1" applyBorder="1" applyAlignment="1">
      <alignment horizontal="right" vertical="top"/>
    </xf>
    <xf numFmtId="9" fontId="7" fillId="3" borderId="65" xfId="2" applyFont="1" applyFill="1" applyBorder="1" applyAlignment="1">
      <alignment horizontal="left" vertical="top" wrapText="1"/>
    </xf>
    <xf numFmtId="9" fontId="10" fillId="3" borderId="6" xfId="2" applyFont="1" applyFill="1" applyBorder="1" applyAlignment="1">
      <alignment horizontal="center" vertical="top" wrapText="1"/>
    </xf>
    <xf numFmtId="9" fontId="10" fillId="3" borderId="65" xfId="2" applyFont="1" applyFill="1" applyBorder="1" applyAlignment="1">
      <alignment horizontal="center" vertical="top" wrapText="1"/>
    </xf>
    <xf numFmtId="9" fontId="52" fillId="5" borderId="138" xfId="0" applyNumberFormat="1" applyFont="1" applyFill="1" applyBorder="1" applyAlignment="1">
      <alignment horizontal="center" vertical="top" wrapText="1"/>
    </xf>
    <xf numFmtId="0" fontId="9" fillId="3" borderId="2" xfId="0" applyFont="1" applyFill="1" applyBorder="1" applyAlignment="1">
      <alignment horizontal="center" vertical="center" wrapText="1"/>
    </xf>
    <xf numFmtId="0" fontId="16" fillId="0" borderId="65" xfId="0" applyFont="1" applyBorder="1" applyAlignment="1">
      <alignment horizontal="center" vertical="center" wrapText="1"/>
    </xf>
    <xf numFmtId="0" fontId="16" fillId="0" borderId="65" xfId="0" applyFont="1" applyBorder="1" applyAlignment="1">
      <alignment horizontal="left" vertical="top" wrapText="1"/>
    </xf>
    <xf numFmtId="0" fontId="16" fillId="0" borderId="65" xfId="0" applyFont="1" applyBorder="1" applyAlignment="1">
      <alignment vertical="center" wrapText="1"/>
    </xf>
    <xf numFmtId="3" fontId="16" fillId="0" borderId="65" xfId="0" applyNumberFormat="1" applyFont="1" applyBorder="1" applyAlignment="1">
      <alignment horizontal="center" vertical="center" wrapText="1"/>
    </xf>
    <xf numFmtId="9" fontId="16" fillId="0" borderId="65" xfId="0" applyNumberFormat="1" applyFont="1" applyBorder="1" applyAlignment="1">
      <alignment horizontal="center" vertical="center" wrapText="1"/>
    </xf>
    <xf numFmtId="9" fontId="167" fillId="0" borderId="89" xfId="0" applyNumberFormat="1" applyFont="1" applyBorder="1" applyAlignment="1">
      <alignment horizontal="center" vertical="center" wrapText="1"/>
    </xf>
    <xf numFmtId="0" fontId="16" fillId="0" borderId="89" xfId="0" applyFont="1" applyBorder="1" applyAlignment="1">
      <alignment vertical="top" wrapText="1"/>
    </xf>
    <xf numFmtId="0" fontId="9" fillId="4" borderId="140" xfId="0" applyFont="1" applyFill="1" applyBorder="1" applyAlignment="1">
      <alignment horizontal="center" vertical="center" wrapText="1"/>
    </xf>
    <xf numFmtId="0" fontId="52" fillId="4" borderId="140" xfId="0" applyFont="1" applyFill="1" applyBorder="1" applyAlignment="1">
      <alignment horizontal="center" vertical="center" wrapText="1"/>
    </xf>
    <xf numFmtId="3" fontId="52" fillId="4" borderId="140" xfId="0" applyNumberFormat="1" applyFont="1" applyFill="1" applyBorder="1" applyAlignment="1">
      <alignment horizontal="center" vertical="center" wrapText="1"/>
    </xf>
    <xf numFmtId="9" fontId="9" fillId="4" borderId="140" xfId="0" applyNumberFormat="1" applyFont="1" applyFill="1" applyBorder="1" applyAlignment="1">
      <alignment horizontal="center" vertical="center" wrapText="1"/>
    </xf>
    <xf numFmtId="0" fontId="52" fillId="4" borderId="140" xfId="0" applyFont="1" applyFill="1" applyBorder="1" applyAlignment="1">
      <alignment horizontal="left" vertical="center" wrapText="1"/>
    </xf>
    <xf numFmtId="0" fontId="9" fillId="4" borderId="140" xfId="0" applyFont="1" applyFill="1" applyBorder="1" applyAlignment="1">
      <alignment horizontal="right" vertical="center" wrapText="1"/>
    </xf>
    <xf numFmtId="9" fontId="9" fillId="4" borderId="141" xfId="0" applyNumberFormat="1" applyFont="1" applyFill="1" applyBorder="1" applyAlignment="1">
      <alignment horizontal="center" vertical="center" wrapText="1"/>
    </xf>
    <xf numFmtId="9" fontId="9" fillId="4" borderId="141" xfId="0" applyNumberFormat="1" applyFont="1" applyFill="1" applyBorder="1" applyAlignment="1">
      <alignment horizontal="left" vertical="center" wrapText="1"/>
    </xf>
    <xf numFmtId="0" fontId="145" fillId="4" borderId="140" xfId="0" applyFont="1" applyFill="1" applyBorder="1" applyAlignment="1">
      <alignment vertical="center" wrapText="1"/>
    </xf>
    <xf numFmtId="0" fontId="143" fillId="4" borderId="140" xfId="0" applyFont="1" applyFill="1" applyBorder="1" applyAlignment="1">
      <alignment horizontal="center" vertical="center" wrapText="1"/>
    </xf>
    <xf numFmtId="0" fontId="116" fillId="5" borderId="131" xfId="0" applyFont="1" applyFill="1" applyBorder="1" applyAlignment="1">
      <alignment vertical="top" wrapText="1"/>
    </xf>
    <xf numFmtId="0" fontId="6" fillId="6" borderId="84" xfId="0" applyFont="1" applyFill="1" applyBorder="1" applyAlignment="1">
      <alignment horizontal="center" vertical="center"/>
    </xf>
    <xf numFmtId="0" fontId="169" fillId="6" borderId="74" xfId="0" applyFont="1" applyFill="1" applyBorder="1" applyAlignment="1">
      <alignment vertical="center" wrapText="1"/>
    </xf>
    <xf numFmtId="0" fontId="169" fillId="6" borderId="77" xfId="0" applyFont="1" applyFill="1" applyBorder="1" applyAlignment="1">
      <alignment vertical="center" wrapText="1"/>
    </xf>
    <xf numFmtId="0" fontId="169" fillId="6" borderId="84" xfId="0" applyFont="1" applyFill="1" applyBorder="1" applyAlignment="1">
      <alignment horizontal="center" vertical="center" wrapText="1"/>
    </xf>
    <xf numFmtId="0" fontId="169" fillId="6" borderId="74" xfId="0" applyFont="1" applyFill="1" applyBorder="1" applyAlignment="1">
      <alignment horizontal="center" vertical="center" wrapText="1"/>
    </xf>
    <xf numFmtId="0" fontId="169" fillId="6" borderId="38" xfId="0" applyFont="1" applyFill="1" applyBorder="1" applyAlignment="1">
      <alignment vertical="center" wrapText="1"/>
    </xf>
    <xf numFmtId="0" fontId="7" fillId="0" borderId="0" xfId="0" applyFont="1"/>
    <xf numFmtId="9" fontId="116" fillId="5" borderId="106" xfId="0" applyNumberFormat="1" applyFont="1" applyFill="1" applyBorder="1" applyAlignment="1">
      <alignment horizontal="center" vertical="top" wrapText="1"/>
    </xf>
    <xf numFmtId="0" fontId="14" fillId="0" borderId="131" xfId="0" applyFont="1" applyBorder="1" applyAlignment="1">
      <alignment horizontal="center" vertical="top"/>
    </xf>
    <xf numFmtId="0" fontId="116" fillId="5" borderId="131" xfId="0" applyFont="1" applyFill="1" applyBorder="1" applyAlignment="1">
      <alignment horizontal="left" vertical="top" wrapText="1"/>
    </xf>
    <xf numFmtId="0" fontId="116" fillId="5" borderId="131" xfId="0" applyFont="1" applyFill="1" applyBorder="1" applyAlignment="1">
      <alignment horizontal="center" vertical="top" wrapText="1"/>
    </xf>
    <xf numFmtId="9" fontId="118" fillId="5" borderId="131" xfId="2" applyFont="1" applyFill="1" applyBorder="1" applyAlignment="1">
      <alignment horizontal="center" vertical="top" wrapText="1"/>
    </xf>
    <xf numFmtId="9" fontId="116" fillId="5" borderId="131" xfId="0" applyNumberFormat="1" applyFont="1" applyFill="1" applyBorder="1" applyAlignment="1">
      <alignment horizontal="center" vertical="top" wrapText="1"/>
    </xf>
    <xf numFmtId="0" fontId="14" fillId="4" borderId="117" xfId="0" applyFont="1" applyFill="1" applyBorder="1" applyAlignment="1">
      <alignment vertical="top"/>
    </xf>
    <xf numFmtId="0" fontId="14" fillId="4" borderId="142" xfId="0" applyFont="1" applyFill="1" applyBorder="1" applyAlignment="1">
      <alignment horizontal="left" vertical="top" wrapText="1"/>
    </xf>
    <xf numFmtId="0" fontId="14" fillId="4" borderId="142" xfId="0" applyFont="1" applyFill="1" applyBorder="1" applyAlignment="1">
      <alignment vertical="top" wrapText="1"/>
    </xf>
    <xf numFmtId="0" fontId="14" fillId="4" borderId="140" xfId="0" applyFont="1" applyFill="1" applyBorder="1" applyAlignment="1">
      <alignment vertical="top" wrapText="1"/>
    </xf>
    <xf numFmtId="0" fontId="14" fillId="4" borderId="141" xfId="0" applyFont="1" applyFill="1" applyBorder="1" applyAlignment="1">
      <alignment vertical="top" wrapText="1"/>
    </xf>
    <xf numFmtId="9" fontId="14" fillId="4" borderId="143" xfId="0" applyNumberFormat="1" applyFont="1" applyFill="1" applyBorder="1" applyAlignment="1">
      <alignment vertical="top" wrapText="1"/>
    </xf>
    <xf numFmtId="0" fontId="14" fillId="4" borderId="144" xfId="0" applyFont="1" applyFill="1" applyBorder="1" applyAlignment="1">
      <alignment vertical="top" wrapText="1"/>
    </xf>
    <xf numFmtId="9" fontId="15" fillId="4" borderId="142" xfId="0" applyNumberFormat="1" applyFont="1" applyFill="1" applyBorder="1" applyAlignment="1">
      <alignment horizontal="right" vertical="top"/>
    </xf>
    <xf numFmtId="41" fontId="125" fillId="45" borderId="118" xfId="0" applyNumberFormat="1" applyFont="1" applyFill="1" applyBorder="1" applyAlignment="1">
      <alignment vertical="center"/>
    </xf>
    <xf numFmtId="167" fontId="42" fillId="0" borderId="106" xfId="1" applyNumberFormat="1" applyFont="1" applyBorder="1" applyAlignment="1">
      <alignment horizontal="center" vertical="top" wrapText="1"/>
    </xf>
    <xf numFmtId="167" fontId="42" fillId="5" borderId="106" xfId="1" applyNumberFormat="1" applyFont="1" applyFill="1" applyBorder="1" applyAlignment="1">
      <alignment horizontal="center" vertical="top" wrapText="1"/>
    </xf>
    <xf numFmtId="0" fontId="146" fillId="0" borderId="0" xfId="0" applyFont="1" applyAlignment="1">
      <alignment horizontal="center" vertical="center"/>
    </xf>
    <xf numFmtId="0" fontId="113" fillId="5" borderId="1" xfId="0" applyFont="1" applyFill="1" applyBorder="1" applyAlignment="1">
      <alignment horizontal="left" vertical="center" wrapText="1"/>
    </xf>
    <xf numFmtId="0" fontId="113" fillId="5" borderId="2" xfId="0" applyFont="1" applyFill="1" applyBorder="1" applyAlignment="1">
      <alignment horizontal="left" vertical="center" wrapText="1"/>
    </xf>
    <xf numFmtId="0" fontId="113" fillId="5" borderId="3" xfId="0" applyFont="1" applyFill="1" applyBorder="1" applyAlignment="1">
      <alignment horizontal="left" vertical="center" wrapText="1"/>
    </xf>
    <xf numFmtId="0" fontId="63" fillId="5" borderId="65" xfId="0" applyFont="1" applyFill="1" applyBorder="1" applyAlignment="1">
      <alignment horizontal="left" vertical="top" wrapText="1"/>
    </xf>
    <xf numFmtId="41" fontId="131" fillId="30" borderId="0" xfId="0" applyNumberFormat="1" applyFont="1" applyFill="1" applyAlignment="1">
      <alignment horizontal="center" vertical="center" wrapText="1"/>
    </xf>
    <xf numFmtId="41" fontId="131" fillId="30" borderId="0" xfId="0" applyNumberFormat="1" applyFont="1" applyFill="1" applyAlignment="1">
      <alignment horizontal="center" vertical="center"/>
    </xf>
    <xf numFmtId="41" fontId="131" fillId="39" borderId="118" xfId="0" applyNumberFormat="1" applyFont="1" applyFill="1" applyBorder="1" applyAlignment="1">
      <alignment horizontal="center" vertical="center"/>
    </xf>
    <xf numFmtId="41" fontId="131" fillId="39" borderId="118" xfId="0" applyNumberFormat="1" applyFont="1" applyFill="1" applyBorder="1" applyAlignment="1">
      <alignment horizontal="center" vertical="center" wrapText="1"/>
    </xf>
    <xf numFmtId="169" fontId="131" fillId="30" borderId="0" xfId="0" applyNumberFormat="1" applyFont="1" applyFill="1" applyAlignment="1">
      <alignment horizontal="center" vertical="center"/>
    </xf>
    <xf numFmtId="41" fontId="131" fillId="9" borderId="118" xfId="0" applyNumberFormat="1" applyFont="1" applyFill="1" applyBorder="1" applyAlignment="1">
      <alignment horizontal="center" vertical="center"/>
    </xf>
    <xf numFmtId="41" fontId="131" fillId="0" borderId="0" xfId="0" applyNumberFormat="1" applyFont="1" applyAlignment="1">
      <alignment horizontal="center" vertical="center"/>
    </xf>
    <xf numFmtId="41" fontId="67" fillId="0" borderId="0" xfId="0" applyNumberFormat="1" applyFont="1" applyAlignment="1">
      <alignment horizontal="center" vertical="center" wrapText="1"/>
    </xf>
    <xf numFmtId="41" fontId="131" fillId="45" borderId="118" xfId="0" applyNumberFormat="1" applyFont="1" applyFill="1" applyBorder="1" applyAlignment="1">
      <alignment horizontal="center" vertical="center"/>
    </xf>
    <xf numFmtId="41" fontId="125" fillId="45" borderId="118" xfId="0" applyNumberFormat="1" applyFont="1" applyFill="1" applyBorder="1" applyAlignment="1">
      <alignment horizontal="center" vertical="center"/>
    </xf>
    <xf numFmtId="41" fontId="131" fillId="39" borderId="120" xfId="0" applyNumberFormat="1" applyFont="1" applyFill="1" applyBorder="1" applyAlignment="1">
      <alignment horizontal="center" vertical="center"/>
    </xf>
    <xf numFmtId="41" fontId="125" fillId="39" borderId="118" xfId="0" applyNumberFormat="1" applyFont="1" applyFill="1" applyBorder="1" applyAlignment="1">
      <alignment horizontal="center" vertical="center"/>
    </xf>
    <xf numFmtId="170" fontId="131" fillId="30" borderId="0" xfId="0" applyNumberFormat="1" applyFont="1" applyFill="1" applyAlignment="1">
      <alignment horizontal="center" vertical="center"/>
    </xf>
    <xf numFmtId="170" fontId="125" fillId="39" borderId="118" xfId="0" applyNumberFormat="1" applyFont="1" applyFill="1" applyBorder="1" applyAlignment="1">
      <alignment horizontal="center" vertical="center"/>
    </xf>
    <xf numFmtId="41" fontId="125" fillId="9" borderId="118" xfId="0" applyNumberFormat="1" applyFont="1" applyFill="1" applyBorder="1" applyAlignment="1">
      <alignment horizontal="center" vertical="center" wrapText="1"/>
    </xf>
    <xf numFmtId="41" fontId="52" fillId="30" borderId="0" xfId="0" applyNumberFormat="1" applyFont="1" applyFill="1" applyAlignment="1">
      <alignment horizontal="center" vertical="center" wrapText="1"/>
    </xf>
    <xf numFmtId="41" fontId="52" fillId="30" borderId="0" xfId="0" applyNumberFormat="1" applyFont="1" applyFill="1" applyAlignment="1">
      <alignment horizontal="center" vertical="center"/>
    </xf>
    <xf numFmtId="0" fontId="52" fillId="9" borderId="121" xfId="0" applyFont="1" applyFill="1" applyBorder="1" applyAlignment="1">
      <alignment horizontal="center" vertical="center"/>
    </xf>
    <xf numFmtId="0" fontId="0" fillId="0" borderId="0" xfId="0" applyAlignment="1">
      <alignment horizontal="center"/>
    </xf>
    <xf numFmtId="171" fontId="131" fillId="0" borderId="0" xfId="0" applyNumberFormat="1" applyFont="1" applyAlignment="1">
      <alignment vertical="center"/>
    </xf>
    <xf numFmtId="171" fontId="131" fillId="30" borderId="0" xfId="0" applyNumberFormat="1" applyFont="1" applyFill="1" applyAlignment="1">
      <alignment vertical="center"/>
    </xf>
    <xf numFmtId="171" fontId="131" fillId="30" borderId="0" xfId="0" applyNumberFormat="1" applyFont="1" applyFill="1" applyAlignment="1">
      <alignment horizontal="center" vertical="center"/>
    </xf>
    <xf numFmtId="0" fontId="62" fillId="0" borderId="5" xfId="0" applyFont="1" applyBorder="1" applyAlignment="1">
      <alignment vertical="center"/>
    </xf>
    <xf numFmtId="0" fontId="62" fillId="0" borderId="1" xfId="0" applyFont="1" applyBorder="1" applyAlignment="1">
      <alignment vertical="center"/>
    </xf>
    <xf numFmtId="0" fontId="62" fillId="0" borderId="2" xfId="0" applyFont="1" applyBorder="1" applyAlignment="1">
      <alignment vertical="center"/>
    </xf>
    <xf numFmtId="0" fontId="62" fillId="0" borderId="3" xfId="0" applyFont="1" applyBorder="1" applyAlignment="1">
      <alignment vertical="center"/>
    </xf>
    <xf numFmtId="41" fontId="70" fillId="5" borderId="20" xfId="0" applyNumberFormat="1" applyFont="1" applyFill="1" applyBorder="1" applyAlignment="1">
      <alignment horizontal="left" vertical="top" wrapText="1"/>
    </xf>
    <xf numFmtId="1" fontId="70" fillId="5" borderId="20" xfId="0" applyNumberFormat="1" applyFont="1" applyFill="1" applyBorder="1" applyAlignment="1">
      <alignment horizontal="center" vertical="top" wrapText="1"/>
    </xf>
    <xf numFmtId="9" fontId="70" fillId="5" borderId="16" xfId="2" applyFont="1" applyFill="1" applyBorder="1" applyAlignment="1">
      <alignment horizontal="center" vertical="top" wrapText="1"/>
    </xf>
    <xf numFmtId="0" fontId="70" fillId="5" borderId="95" xfId="0" applyFont="1" applyFill="1" applyBorder="1" applyAlignment="1">
      <alignment vertical="top" wrapText="1"/>
    </xf>
    <xf numFmtId="41" fontId="70" fillId="5" borderId="137" xfId="0" applyNumberFormat="1" applyFont="1" applyFill="1" applyBorder="1" applyAlignment="1">
      <alignment horizontal="left" vertical="top" wrapText="1"/>
    </xf>
    <xf numFmtId="1" fontId="70" fillId="5" borderId="137" xfId="0" applyNumberFormat="1" applyFont="1" applyFill="1" applyBorder="1" applyAlignment="1">
      <alignment horizontal="center" vertical="top" wrapText="1"/>
    </xf>
    <xf numFmtId="9" fontId="70" fillId="5" borderId="131" xfId="2" applyFont="1" applyFill="1" applyBorder="1" applyAlignment="1">
      <alignment horizontal="center" vertical="top" wrapText="1"/>
    </xf>
    <xf numFmtId="0" fontId="70" fillId="5" borderId="137" xfId="0" applyFont="1" applyFill="1" applyBorder="1" applyAlignment="1">
      <alignment vertical="top" wrapText="1"/>
    </xf>
    <xf numFmtId="0" fontId="70" fillId="5" borderId="145" xfId="0" applyFont="1" applyFill="1" applyBorder="1" applyAlignment="1">
      <alignment horizontal="left" vertical="top" wrapText="1"/>
    </xf>
    <xf numFmtId="0" fontId="3" fillId="0" borderId="63" xfId="0" applyFont="1" applyBorder="1" applyAlignment="1">
      <alignment vertical="top" wrapText="1"/>
    </xf>
    <xf numFmtId="41" fontId="70" fillId="5" borderId="29" xfId="0" applyNumberFormat="1" applyFont="1" applyFill="1" applyBorder="1" applyAlignment="1">
      <alignment horizontal="left" vertical="top" wrapText="1"/>
    </xf>
    <xf numFmtId="1" fontId="70" fillId="5" borderId="29" xfId="0" applyNumberFormat="1" applyFont="1" applyFill="1" applyBorder="1" applyAlignment="1">
      <alignment horizontal="center" vertical="top" wrapText="1"/>
    </xf>
    <xf numFmtId="9" fontId="70" fillId="5" borderId="29" xfId="2" applyFont="1" applyFill="1" applyBorder="1" applyAlignment="1">
      <alignment horizontal="center" vertical="top" wrapText="1"/>
    </xf>
    <xf numFmtId="0" fontId="70" fillId="5" borderId="30" xfId="0" applyFont="1" applyFill="1" applyBorder="1" applyAlignment="1">
      <alignment horizontal="left" vertical="top" wrapText="1"/>
    </xf>
    <xf numFmtId="41" fontId="70" fillId="5" borderId="65" xfId="0" applyNumberFormat="1" applyFont="1" applyFill="1" applyBorder="1" applyAlignment="1">
      <alignment horizontal="left" vertical="center" wrapText="1"/>
    </xf>
    <xf numFmtId="1" fontId="70" fillId="5" borderId="65" xfId="0" applyNumberFormat="1" applyFont="1" applyFill="1" applyBorder="1" applyAlignment="1">
      <alignment horizontal="center" vertical="top" wrapText="1"/>
    </xf>
    <xf numFmtId="172" fontId="70" fillId="5" borderId="65" xfId="0" applyNumberFormat="1" applyFont="1" applyFill="1" applyBorder="1" applyAlignment="1">
      <alignment horizontal="center" vertical="top" wrapText="1"/>
    </xf>
    <xf numFmtId="0" fontId="70" fillId="5" borderId="96" xfId="0" applyFont="1" applyFill="1" applyBorder="1" applyAlignment="1">
      <alignment horizontal="left" vertical="center" wrapText="1"/>
    </xf>
    <xf numFmtId="41" fontId="70" fillId="5" borderId="131" xfId="0" applyNumberFormat="1" applyFont="1" applyFill="1" applyBorder="1" applyAlignment="1">
      <alignment horizontal="left" vertical="center" wrapText="1"/>
    </xf>
    <xf numFmtId="1" fontId="70" fillId="5" borderId="131" xfId="0" applyNumberFormat="1" applyFont="1" applyFill="1" applyBorder="1" applyAlignment="1">
      <alignment horizontal="center" vertical="top" wrapText="1"/>
    </xf>
    <xf numFmtId="1" fontId="70" fillId="5" borderId="133" xfId="0" applyNumberFormat="1" applyFont="1" applyFill="1" applyBorder="1" applyAlignment="1">
      <alignment horizontal="center" vertical="top" wrapText="1"/>
    </xf>
    <xf numFmtId="172" fontId="70" fillId="5" borderId="133" xfId="0" applyNumberFormat="1" applyFont="1" applyFill="1" applyBorder="1" applyAlignment="1">
      <alignment horizontal="center" vertical="top" wrapText="1"/>
    </xf>
    <xf numFmtId="0" fontId="70" fillId="5" borderId="146" xfId="0" applyFont="1" applyFill="1" applyBorder="1" applyAlignment="1">
      <alignment vertical="center" wrapText="1"/>
    </xf>
    <xf numFmtId="41" fontId="61" fillId="5" borderId="20" xfId="0" applyNumberFormat="1" applyFont="1" applyFill="1" applyBorder="1" applyAlignment="1">
      <alignment horizontal="left" vertical="center" wrapText="1"/>
    </xf>
    <xf numFmtId="1" fontId="61" fillId="5" borderId="20" xfId="0" applyNumberFormat="1" applyFont="1" applyFill="1" applyBorder="1" applyAlignment="1">
      <alignment horizontal="center" vertical="center" wrapText="1"/>
    </xf>
    <xf numFmtId="41" fontId="61" fillId="5" borderId="29" xfId="0" applyNumberFormat="1" applyFont="1" applyFill="1" applyBorder="1" applyAlignment="1">
      <alignment horizontal="left" vertical="center" wrapText="1"/>
    </xf>
    <xf numFmtId="1" fontId="61" fillId="5" borderId="29" xfId="0" applyNumberFormat="1" applyFont="1" applyFill="1" applyBorder="1" applyAlignment="1">
      <alignment horizontal="center" vertical="center" wrapText="1"/>
    </xf>
    <xf numFmtId="1" fontId="67" fillId="5" borderId="29" xfId="0" applyNumberFormat="1" applyFont="1" applyFill="1" applyBorder="1" applyAlignment="1">
      <alignment horizontal="center" vertical="center" wrapText="1"/>
    </xf>
    <xf numFmtId="9" fontId="67" fillId="5" borderId="29" xfId="2" applyFont="1" applyFill="1" applyBorder="1" applyAlignment="1">
      <alignment horizontal="center" vertical="center" wrapText="1"/>
    </xf>
    <xf numFmtId="0" fontId="61" fillId="5" borderId="58" xfId="0" applyFont="1" applyFill="1" applyBorder="1" applyAlignment="1">
      <alignment vertical="center" wrapText="1"/>
    </xf>
    <xf numFmtId="0" fontId="4" fillId="26" borderId="1" xfId="0" applyFont="1" applyFill="1" applyBorder="1"/>
    <xf numFmtId="0" fontId="4" fillId="26" borderId="2" xfId="0" applyFont="1" applyFill="1" applyBorder="1"/>
    <xf numFmtId="165" fontId="62" fillId="26" borderId="13" xfId="2" applyNumberFormat="1" applyFont="1" applyFill="1" applyBorder="1" applyAlignment="1">
      <alignment horizontal="center" vertical="center"/>
    </xf>
    <xf numFmtId="0" fontId="4" fillId="26" borderId="3" xfId="0" applyFont="1" applyFill="1" applyBorder="1"/>
    <xf numFmtId="0" fontId="124" fillId="0" borderId="0" xfId="0" applyFont="1"/>
    <xf numFmtId="9" fontId="70" fillId="5" borderId="78" xfId="2" applyFont="1" applyFill="1" applyBorder="1" applyAlignment="1">
      <alignment horizontal="center" vertical="top" wrapText="1"/>
    </xf>
    <xf numFmtId="165" fontId="62" fillId="26" borderId="2" xfId="2" applyNumberFormat="1" applyFont="1" applyFill="1" applyBorder="1" applyAlignment="1">
      <alignment horizontal="center" vertical="center"/>
    </xf>
    <xf numFmtId="172" fontId="64" fillId="5" borderId="20" xfId="0" applyNumberFormat="1" applyFont="1" applyFill="1" applyBorder="1" applyAlignment="1">
      <alignment horizontal="center" vertical="center" wrapText="1"/>
    </xf>
    <xf numFmtId="9" fontId="64" fillId="5" borderId="20" xfId="2" applyFont="1" applyFill="1" applyBorder="1" applyAlignment="1">
      <alignment horizontal="center" vertical="center" wrapText="1"/>
    </xf>
    <xf numFmtId="9" fontId="170" fillId="5" borderId="78" xfId="2" applyFont="1" applyFill="1" applyBorder="1" applyAlignment="1">
      <alignment horizontal="center" vertical="top" wrapText="1"/>
    </xf>
    <xf numFmtId="0" fontId="64" fillId="5" borderId="21" xfId="0" applyFont="1" applyFill="1" applyBorder="1" applyAlignment="1">
      <alignment vertical="center" wrapText="1"/>
    </xf>
    <xf numFmtId="0" fontId="149" fillId="30" borderId="137" xfId="0" applyFont="1" applyFill="1" applyBorder="1" applyAlignment="1">
      <alignment horizontal="center" vertical="center" wrapText="1"/>
    </xf>
    <xf numFmtId="0" fontId="65" fillId="4" borderId="4" xfId="0" applyFont="1" applyFill="1" applyBorder="1" applyAlignment="1">
      <alignment horizontal="center" vertical="center" wrapText="1"/>
    </xf>
    <xf numFmtId="0" fontId="65" fillId="4" borderId="13" xfId="0" applyFont="1" applyFill="1" applyBorder="1" applyAlignment="1">
      <alignment horizontal="center" vertical="center" wrapText="1"/>
    </xf>
    <xf numFmtId="41" fontId="65" fillId="4" borderId="37" xfId="0" applyNumberFormat="1" applyFont="1" applyFill="1" applyBorder="1" applyAlignment="1">
      <alignment horizontal="center" vertical="center" wrapText="1"/>
    </xf>
    <xf numFmtId="41" fontId="65" fillId="4" borderId="5" xfId="0" applyNumberFormat="1" applyFont="1" applyFill="1" applyBorder="1" applyAlignment="1">
      <alignment horizontal="center" vertical="center" wrapText="1"/>
    </xf>
    <xf numFmtId="41" fontId="65" fillId="4" borderId="36" xfId="0" applyNumberFormat="1" applyFont="1" applyFill="1" applyBorder="1" applyAlignment="1">
      <alignment horizontal="center" vertical="center" wrapText="1"/>
    </xf>
    <xf numFmtId="0" fontId="42" fillId="0" borderId="65" xfId="0" applyFont="1" applyBorder="1" applyAlignment="1">
      <alignment horizontal="left" vertical="top" wrapText="1"/>
    </xf>
    <xf numFmtId="0" fontId="86" fillId="0" borderId="65" xfId="0" applyFont="1" applyBorder="1" applyAlignment="1">
      <alignment horizontal="center" vertical="top" wrapText="1"/>
    </xf>
    <xf numFmtId="3" fontId="86" fillId="0" borderId="65" xfId="0" applyNumberFormat="1" applyFont="1" applyBorder="1" applyAlignment="1">
      <alignment horizontal="center" vertical="top"/>
    </xf>
    <xf numFmtId="3" fontId="136" fillId="5" borderId="65" xfId="0" applyNumberFormat="1" applyFont="1" applyFill="1" applyBorder="1" applyAlignment="1">
      <alignment horizontal="center" vertical="top" wrapText="1"/>
    </xf>
    <xf numFmtId="9" fontId="136" fillId="5" borderId="65" xfId="2" applyFont="1" applyFill="1" applyBorder="1" applyAlignment="1">
      <alignment horizontal="center" vertical="top" wrapText="1"/>
    </xf>
    <xf numFmtId="0" fontId="86" fillId="0" borderId="65" xfId="0" applyFont="1" applyBorder="1" applyAlignment="1">
      <alignment vertical="top" wrapText="1"/>
    </xf>
    <xf numFmtId="0" fontId="0" fillId="0" borderId="137" xfId="0" applyBorder="1"/>
    <xf numFmtId="0" fontId="79" fillId="4" borderId="1" xfId="0" applyFont="1" applyFill="1" applyBorder="1" applyAlignment="1">
      <alignment horizontal="center" vertical="center" wrapText="1"/>
    </xf>
    <xf numFmtId="0" fontId="79" fillId="4" borderId="5" xfId="0" applyFont="1" applyFill="1" applyBorder="1" applyAlignment="1">
      <alignment horizontal="center" vertical="center" wrapText="1"/>
    </xf>
    <xf numFmtId="0" fontId="79" fillId="4" borderId="2" xfId="0" applyFont="1" applyFill="1" applyBorder="1" applyAlignment="1">
      <alignment horizontal="left" vertical="center" wrapText="1"/>
    </xf>
    <xf numFmtId="41" fontId="79" fillId="4" borderId="5" xfId="0" applyNumberFormat="1" applyFont="1" applyFill="1" applyBorder="1" applyAlignment="1">
      <alignment horizontal="center" vertical="center" wrapText="1"/>
    </xf>
    <xf numFmtId="41" fontId="79" fillId="4" borderId="2" xfId="0" applyNumberFormat="1" applyFont="1" applyFill="1" applyBorder="1" applyAlignment="1">
      <alignment horizontal="center" vertical="center" wrapText="1"/>
    </xf>
    <xf numFmtId="41" fontId="79" fillId="4" borderId="1" xfId="0" applyNumberFormat="1" applyFont="1" applyFill="1" applyBorder="1" applyAlignment="1">
      <alignment horizontal="center" vertical="center" wrapText="1"/>
    </xf>
    <xf numFmtId="0" fontId="79" fillId="4" borderId="106" xfId="0" applyFont="1" applyFill="1" applyBorder="1" applyAlignment="1">
      <alignment horizontal="center" vertical="center" wrapText="1"/>
    </xf>
    <xf numFmtId="0" fontId="79" fillId="4" borderId="5" xfId="0" applyFont="1" applyFill="1" applyBorder="1" applyAlignment="1">
      <alignment horizontal="left" vertical="center" wrapText="1"/>
    </xf>
    <xf numFmtId="0" fontId="0" fillId="5" borderId="133" xfId="0" applyFill="1" applyBorder="1" applyAlignment="1">
      <alignment horizontal="center" vertical="top" wrapText="1"/>
    </xf>
    <xf numFmtId="0" fontId="0" fillId="5" borderId="133" xfId="0" applyFill="1" applyBorder="1" applyAlignment="1">
      <alignment horizontal="left" vertical="top" wrapText="1"/>
    </xf>
    <xf numFmtId="41" fontId="0" fillId="5" borderId="133" xfId="0" applyNumberFormat="1" applyFill="1" applyBorder="1" applyAlignment="1">
      <alignment horizontal="left" vertical="top" wrapText="1"/>
    </xf>
    <xf numFmtId="41" fontId="0" fillId="5" borderId="133" xfId="0" applyNumberFormat="1" applyFill="1" applyBorder="1" applyAlignment="1">
      <alignment horizontal="center" vertical="top" wrapText="1"/>
    </xf>
    <xf numFmtId="165" fontId="0" fillId="5" borderId="133" xfId="2" applyNumberFormat="1" applyFont="1" applyFill="1" applyBorder="1" applyAlignment="1">
      <alignment horizontal="center" vertical="top"/>
    </xf>
    <xf numFmtId="0" fontId="63" fillId="5" borderId="65" xfId="0" applyFont="1" applyFill="1" applyBorder="1" applyAlignment="1">
      <alignment horizontal="center" vertical="top" wrapText="1"/>
    </xf>
    <xf numFmtId="3" fontId="61" fillId="5" borderId="65" xfId="0" applyNumberFormat="1" applyFont="1" applyFill="1" applyBorder="1" applyAlignment="1">
      <alignment horizontal="center" vertical="top" wrapText="1"/>
    </xf>
    <xf numFmtId="9" fontId="61" fillId="5" borderId="65" xfId="2" applyFont="1" applyFill="1" applyBorder="1" applyAlignment="1">
      <alignment horizontal="left" vertical="top"/>
    </xf>
    <xf numFmtId="9" fontId="22" fillId="12" borderId="88" xfId="2" applyFont="1" applyFill="1" applyBorder="1" applyAlignment="1">
      <alignment horizontal="center" vertical="top" wrapText="1"/>
    </xf>
    <xf numFmtId="0" fontId="58" fillId="30" borderId="0" xfId="0" applyFont="1" applyFill="1" applyAlignment="1">
      <alignment horizontal="center" vertical="center" wrapText="1"/>
    </xf>
    <xf numFmtId="0" fontId="155" fillId="10" borderId="0" xfId="0" applyFont="1" applyFill="1" applyAlignment="1">
      <alignment vertical="center" wrapText="1"/>
    </xf>
    <xf numFmtId="0" fontId="131" fillId="10" borderId="0" xfId="0" applyFont="1" applyFill="1" applyAlignment="1">
      <alignment horizontal="center" vertical="center"/>
    </xf>
    <xf numFmtId="0" fontId="171" fillId="10" borderId="0" xfId="0" applyFont="1" applyFill="1"/>
    <xf numFmtId="0" fontId="58" fillId="10" borderId="0" xfId="0" applyFont="1" applyFill="1" applyAlignment="1">
      <alignment horizontal="center" vertical="center" wrapText="1"/>
    </xf>
    <xf numFmtId="0" fontId="131" fillId="10" borderId="0" xfId="0" applyFont="1" applyFill="1" applyAlignment="1">
      <alignment vertical="center" wrapText="1"/>
    </xf>
    <xf numFmtId="9" fontId="16" fillId="5" borderId="0" xfId="0" applyNumberFormat="1" applyFont="1" applyFill="1" applyAlignment="1">
      <alignment horizontal="left" vertical="top" wrapText="1"/>
    </xf>
    <xf numFmtId="9" fontId="0" fillId="5" borderId="2" xfId="2" applyFont="1" applyFill="1" applyBorder="1" applyAlignment="1">
      <alignment horizontal="center" vertical="top" wrapText="1"/>
    </xf>
    <xf numFmtId="9" fontId="0" fillId="0" borderId="0" xfId="0" applyNumberFormat="1" applyAlignment="1">
      <alignment horizontal="left" vertical="top" wrapText="1"/>
    </xf>
    <xf numFmtId="0" fontId="0" fillId="5" borderId="148" xfId="0" applyFill="1" applyBorder="1" applyAlignment="1">
      <alignment horizontal="center" vertical="top" wrapText="1"/>
    </xf>
    <xf numFmtId="0" fontId="0" fillId="5" borderId="148" xfId="0" applyFill="1" applyBorder="1" applyAlignment="1">
      <alignment horizontal="left" vertical="top" wrapText="1"/>
    </xf>
    <xf numFmtId="0" fontId="0" fillId="0" borderId="148" xfId="0" applyBorder="1" applyAlignment="1">
      <alignment horizontal="center" vertical="top" wrapText="1"/>
    </xf>
    <xf numFmtId="9" fontId="0" fillId="5" borderId="148" xfId="2" applyFont="1" applyFill="1" applyBorder="1" applyAlignment="1">
      <alignment horizontal="center" vertical="top" wrapText="1"/>
    </xf>
    <xf numFmtId="0" fontId="0" fillId="5" borderId="149" xfId="0" applyFill="1" applyBorder="1" applyAlignment="1">
      <alignment vertical="top" wrapText="1"/>
    </xf>
    <xf numFmtId="0" fontId="0" fillId="5" borderId="0" xfId="0" applyFill="1" applyAlignment="1">
      <alignment horizontal="left" vertical="top" wrapText="1"/>
    </xf>
    <xf numFmtId="9" fontId="0" fillId="5" borderId="0" xfId="0" applyNumberFormat="1" applyFill="1" applyAlignment="1">
      <alignment horizontal="left" vertical="top" wrapText="1"/>
    </xf>
    <xf numFmtId="0" fontId="0" fillId="0" borderId="137" xfId="0" applyBorder="1" applyAlignment="1">
      <alignment horizontal="center" vertical="top" wrapText="1"/>
    </xf>
    <xf numFmtId="0" fontId="0" fillId="5" borderId="148" xfId="0" applyFill="1" applyBorder="1" applyAlignment="1">
      <alignment vertical="top" wrapText="1"/>
    </xf>
    <xf numFmtId="0" fontId="0" fillId="5" borderId="137" xfId="0" applyFill="1" applyBorder="1" applyAlignment="1">
      <alignment wrapText="1"/>
    </xf>
    <xf numFmtId="0" fontId="0" fillId="5" borderId="137" xfId="0" applyFill="1" applyBorder="1" applyAlignment="1">
      <alignment horizontal="center" vertical="top" wrapText="1"/>
    </xf>
    <xf numFmtId="9" fontId="0" fillId="5" borderId="137" xfId="2" applyFont="1" applyFill="1" applyBorder="1" applyAlignment="1">
      <alignment horizontal="center" vertical="top" wrapText="1"/>
    </xf>
    <xf numFmtId="0" fontId="0" fillId="5" borderId="137" xfId="0" applyFill="1" applyBorder="1" applyAlignment="1">
      <alignment vertical="top" wrapText="1"/>
    </xf>
    <xf numFmtId="0" fontId="0" fillId="5" borderId="148" xfId="0" applyFill="1" applyBorder="1" applyAlignment="1">
      <alignment vertical="center" wrapText="1"/>
    </xf>
    <xf numFmtId="9" fontId="4" fillId="0" borderId="37" xfId="0" applyNumberFormat="1" applyFont="1" applyBorder="1" applyAlignment="1">
      <alignment horizontal="center" vertical="center" wrapText="1"/>
    </xf>
    <xf numFmtId="9" fontId="0" fillId="0" borderId="14" xfId="0" applyNumberFormat="1" applyBorder="1" applyAlignment="1">
      <alignment horizontal="left"/>
    </xf>
    <xf numFmtId="0" fontId="4" fillId="0" borderId="147" xfId="0" applyFont="1" applyBorder="1"/>
    <xf numFmtId="0" fontId="4" fillId="0" borderId="134" xfId="0" applyFont="1" applyBorder="1"/>
    <xf numFmtId="0" fontId="0" fillId="0" borderId="133" xfId="0" applyBorder="1"/>
    <xf numFmtId="0" fontId="0" fillId="0" borderId="137" xfId="0" applyBorder="1" applyAlignment="1">
      <alignment horizontal="center" vertical="top"/>
    </xf>
    <xf numFmtId="0" fontId="8" fillId="0" borderId="137" xfId="0" applyFont="1" applyBorder="1" applyAlignment="1">
      <alignment horizontal="left" vertical="top" wrapText="1"/>
    </xf>
    <xf numFmtId="0" fontId="0" fillId="5" borderId="65" xfId="0" applyFill="1" applyBorder="1" applyAlignment="1">
      <alignment wrapText="1"/>
    </xf>
    <xf numFmtId="0" fontId="0" fillId="5" borderId="107" xfId="0" applyFill="1" applyBorder="1" applyAlignment="1">
      <alignment horizontal="left" vertical="top" wrapText="1"/>
    </xf>
    <xf numFmtId="0" fontId="0" fillId="0" borderId="148" xfId="0" applyBorder="1" applyAlignment="1">
      <alignment horizontal="center" vertical="top"/>
    </xf>
    <xf numFmtId="0" fontId="0" fillId="0" borderId="134" xfId="0" applyBorder="1" applyAlignment="1">
      <alignment horizontal="center" vertical="top"/>
    </xf>
    <xf numFmtId="9" fontId="0" fillId="5" borderId="133" xfId="2" applyFont="1" applyFill="1" applyBorder="1" applyAlignment="1">
      <alignment horizontal="center" vertical="top" wrapText="1"/>
    </xf>
    <xf numFmtId="0" fontId="0" fillId="5" borderId="147" xfId="0" applyFill="1" applyBorder="1" applyAlignment="1">
      <alignment vertical="top" wrapText="1"/>
    </xf>
    <xf numFmtId="9" fontId="0" fillId="5" borderId="147" xfId="0" applyNumberFormat="1" applyFill="1" applyBorder="1" applyAlignment="1">
      <alignment vertical="top" wrapText="1"/>
    </xf>
    <xf numFmtId="9" fontId="4" fillId="0" borderId="37" xfId="2" applyFont="1" applyBorder="1" applyAlignment="1">
      <alignment horizontal="center"/>
    </xf>
    <xf numFmtId="9" fontId="4" fillId="12" borderId="37" xfId="2" applyFont="1" applyFill="1" applyBorder="1" applyAlignment="1">
      <alignment horizontal="center"/>
    </xf>
    <xf numFmtId="0" fontId="58" fillId="30" borderId="147" xfId="0" applyFont="1" applyFill="1" applyBorder="1" applyAlignment="1">
      <alignment horizontal="center" vertical="center" wrapText="1"/>
    </xf>
    <xf numFmtId="0" fontId="0" fillId="12" borderId="0" xfId="0" applyFill="1" applyAlignment="1">
      <alignment wrapText="1"/>
    </xf>
    <xf numFmtId="0" fontId="25" fillId="5" borderId="137" xfId="0" applyFont="1" applyFill="1" applyBorder="1" applyAlignment="1">
      <alignment horizontal="center" vertical="center" wrapText="1"/>
    </xf>
    <xf numFmtId="0" fontId="25" fillId="5" borderId="137" xfId="0" applyFont="1" applyFill="1" applyBorder="1" applyAlignment="1">
      <alignment horizontal="left" vertical="center" wrapText="1"/>
    </xf>
    <xf numFmtId="0" fontId="25" fillId="5" borderId="137" xfId="0" applyFont="1" applyFill="1" applyBorder="1" applyAlignment="1">
      <alignment horizontal="center" vertical="center"/>
    </xf>
    <xf numFmtId="9" fontId="25" fillId="5" borderId="137" xfId="2" applyFont="1" applyFill="1" applyBorder="1" applyAlignment="1">
      <alignment horizontal="center" vertical="center" wrapText="1"/>
    </xf>
    <xf numFmtId="0" fontId="25" fillId="5" borderId="137" xfId="0" applyFont="1" applyFill="1" applyBorder="1" applyAlignment="1">
      <alignment vertical="center" wrapText="1"/>
    </xf>
    <xf numFmtId="9" fontId="25" fillId="5" borderId="137" xfId="2" applyFont="1" applyFill="1" applyBorder="1" applyAlignment="1">
      <alignment horizontal="center" vertical="center"/>
    </xf>
    <xf numFmtId="9" fontId="25" fillId="5" borderId="137" xfId="0" applyNumberFormat="1" applyFont="1" applyFill="1" applyBorder="1" applyAlignment="1">
      <alignment horizontal="center" vertical="center" wrapText="1"/>
    </xf>
    <xf numFmtId="0" fontId="25" fillId="0" borderId="148" xfId="0" applyFont="1" applyBorder="1" applyAlignment="1">
      <alignment horizontal="left" vertical="center" wrapText="1"/>
    </xf>
    <xf numFmtId="0" fontId="25" fillId="0" borderId="148" xfId="0" applyFont="1" applyBorder="1" applyAlignment="1">
      <alignment horizontal="center" vertical="center" wrapText="1"/>
    </xf>
    <xf numFmtId="9" fontId="25" fillId="5" borderId="148" xfId="0" applyNumberFormat="1" applyFont="1" applyFill="1" applyBorder="1" applyAlignment="1">
      <alignment horizontal="center" vertical="center" wrapText="1"/>
    </xf>
    <xf numFmtId="0" fontId="25" fillId="0" borderId="148" xfId="0" applyFont="1" applyBorder="1" applyAlignment="1">
      <alignment vertical="center" wrapText="1"/>
    </xf>
    <xf numFmtId="9" fontId="58" fillId="5" borderId="134" xfId="0" applyNumberFormat="1" applyFont="1" applyFill="1" applyBorder="1" applyAlignment="1">
      <alignment horizontal="center" vertical="center" wrapText="1"/>
    </xf>
    <xf numFmtId="0" fontId="25" fillId="5" borderId="147" xfId="0" applyFont="1" applyFill="1" applyBorder="1" applyAlignment="1">
      <alignment vertical="center" wrapText="1"/>
    </xf>
    <xf numFmtId="3" fontId="25" fillId="5" borderId="137" xfId="0" applyNumberFormat="1" applyFont="1" applyFill="1" applyBorder="1" applyAlignment="1">
      <alignment horizontal="center" vertical="center"/>
    </xf>
    <xf numFmtId="0" fontId="25" fillId="5" borderId="148" xfId="0" applyFont="1" applyFill="1" applyBorder="1" applyAlignment="1">
      <alignment horizontal="center" vertical="center"/>
    </xf>
    <xf numFmtId="9" fontId="25" fillId="5" borderId="148" xfId="2" applyFont="1" applyFill="1" applyBorder="1" applyAlignment="1">
      <alignment horizontal="center" vertical="center"/>
    </xf>
    <xf numFmtId="9" fontId="25" fillId="5" borderId="148" xfId="2" applyFont="1" applyFill="1" applyBorder="1" applyAlignment="1">
      <alignment horizontal="center" vertical="center" wrapText="1"/>
    </xf>
    <xf numFmtId="0" fontId="25" fillId="5" borderId="148" xfId="0" applyFont="1" applyFill="1" applyBorder="1" applyAlignment="1">
      <alignment vertical="center" wrapText="1"/>
    </xf>
    <xf numFmtId="0" fontId="58" fillId="5" borderId="134" xfId="0" applyFont="1" applyFill="1" applyBorder="1" applyAlignment="1">
      <alignment horizontal="right" vertical="center" wrapText="1"/>
    </xf>
    <xf numFmtId="9" fontId="58" fillId="5" borderId="133" xfId="0" applyNumberFormat="1" applyFont="1" applyFill="1" applyBorder="1" applyAlignment="1">
      <alignment horizontal="center" vertical="center" wrapText="1"/>
    </xf>
    <xf numFmtId="9" fontId="58" fillId="5" borderId="147" xfId="0" applyNumberFormat="1" applyFont="1" applyFill="1" applyBorder="1" applyAlignment="1">
      <alignment horizontal="center" vertical="center" wrapText="1"/>
    </xf>
    <xf numFmtId="0" fontId="25" fillId="5" borderId="137" xfId="0" applyFont="1" applyFill="1" applyBorder="1" applyAlignment="1">
      <alignment horizontal="center" vertical="top" wrapText="1"/>
    </xf>
    <xf numFmtId="0" fontId="25" fillId="5" borderId="137" xfId="0" applyFont="1" applyFill="1" applyBorder="1" applyAlignment="1">
      <alignment horizontal="left" vertical="top" wrapText="1"/>
    </xf>
    <xf numFmtId="0" fontId="25" fillId="5" borderId="148" xfId="0" applyFont="1" applyFill="1" applyBorder="1" applyAlignment="1">
      <alignment horizontal="center" vertical="top" wrapText="1"/>
    </xf>
    <xf numFmtId="0" fontId="25" fillId="12" borderId="148" xfId="0" applyFont="1" applyFill="1" applyBorder="1" applyAlignment="1">
      <alignment horizontal="left" vertical="center" wrapText="1"/>
    </xf>
    <xf numFmtId="1" fontId="25" fillId="5" borderId="148" xfId="0" applyNumberFormat="1" applyFont="1" applyFill="1" applyBorder="1" applyAlignment="1">
      <alignment horizontal="center" vertical="center" wrapText="1"/>
    </xf>
    <xf numFmtId="0" fontId="25" fillId="5" borderId="137" xfId="0" applyFont="1" applyFill="1" applyBorder="1" applyAlignment="1">
      <alignment vertical="top" wrapText="1"/>
    </xf>
    <xf numFmtId="9" fontId="25" fillId="5" borderId="137" xfId="2" applyFont="1" applyFill="1" applyBorder="1" applyAlignment="1">
      <alignment horizontal="center" vertical="top" wrapText="1"/>
    </xf>
    <xf numFmtId="0" fontId="25" fillId="5" borderId="137" xfId="0" applyFont="1" applyFill="1" applyBorder="1" applyAlignment="1">
      <alignment horizontal="center" vertical="top"/>
    </xf>
    <xf numFmtId="0" fontId="25" fillId="5" borderId="148" xfId="0" applyFont="1" applyFill="1" applyBorder="1" applyAlignment="1">
      <alignment horizontal="left" wrapText="1"/>
    </xf>
    <xf numFmtId="0" fontId="25" fillId="5" borderId="148" xfId="0" applyFont="1" applyFill="1" applyBorder="1" applyAlignment="1">
      <alignment horizontal="center" vertical="top"/>
    </xf>
    <xf numFmtId="9" fontId="58" fillId="23" borderId="134" xfId="0" applyNumberFormat="1" applyFont="1" applyFill="1" applyBorder="1" applyAlignment="1">
      <alignment horizontal="center" vertical="center" wrapText="1"/>
    </xf>
    <xf numFmtId="9" fontId="25" fillId="0" borderId="151" xfId="0" applyNumberFormat="1" applyFont="1" applyBorder="1" applyAlignment="1">
      <alignment horizontal="left" vertical="top" wrapText="1"/>
    </xf>
    <xf numFmtId="0" fontId="58" fillId="5" borderId="147" xfId="0" applyFont="1" applyFill="1" applyBorder="1" applyAlignment="1">
      <alignment horizontal="right" vertical="top" wrapText="1"/>
    </xf>
    <xf numFmtId="0" fontId="58" fillId="5" borderId="134" xfId="0" applyFont="1" applyFill="1" applyBorder="1" applyAlignment="1">
      <alignment horizontal="right" vertical="top" wrapText="1"/>
    </xf>
    <xf numFmtId="9" fontId="25" fillId="5" borderId="133" xfId="0" applyNumberFormat="1" applyFont="1" applyFill="1" applyBorder="1" applyAlignment="1">
      <alignment horizontal="center" vertical="top" wrapText="1"/>
    </xf>
    <xf numFmtId="0" fontId="25" fillId="0" borderId="148" xfId="0" applyFont="1" applyBorder="1" applyAlignment="1">
      <alignment vertical="top" wrapText="1"/>
    </xf>
    <xf numFmtId="3" fontId="25" fillId="5" borderId="137" xfId="0" applyNumberFormat="1" applyFont="1" applyFill="1" applyBorder="1" applyAlignment="1">
      <alignment horizontal="center" vertical="top"/>
    </xf>
    <xf numFmtId="0" fontId="25" fillId="0" borderId="137" xfId="0" applyFont="1" applyBorder="1" applyAlignment="1">
      <alignment vertical="top" wrapText="1"/>
    </xf>
    <xf numFmtId="0" fontId="25" fillId="0" borderId="137" xfId="0" applyFont="1" applyBorder="1" applyAlignment="1">
      <alignment horizontal="center" vertical="top" wrapText="1"/>
    </xf>
    <xf numFmtId="9" fontId="25" fillId="0" borderId="137" xfId="2" applyFont="1" applyFill="1" applyBorder="1" applyAlignment="1">
      <alignment horizontal="center" vertical="top" wrapText="1"/>
    </xf>
    <xf numFmtId="0" fontId="25" fillId="0" borderId="137" xfId="0" applyFont="1" applyBorder="1" applyAlignment="1">
      <alignment horizontal="left" vertical="top" wrapText="1"/>
    </xf>
    <xf numFmtId="49" fontId="25" fillId="5" borderId="137" xfId="2" applyNumberFormat="1" applyFont="1" applyFill="1" applyBorder="1" applyAlignment="1">
      <alignment horizontal="center" vertical="top"/>
    </xf>
    <xf numFmtId="9" fontId="25" fillId="5" borderId="148" xfId="2" applyFont="1" applyFill="1" applyBorder="1" applyAlignment="1">
      <alignment horizontal="center" vertical="top" wrapText="1"/>
    </xf>
    <xf numFmtId="9" fontId="25" fillId="5" borderId="137" xfId="0" applyNumberFormat="1" applyFont="1" applyFill="1" applyBorder="1" applyAlignment="1">
      <alignment horizontal="left" vertical="top" wrapText="1"/>
    </xf>
    <xf numFmtId="0" fontId="25" fillId="5" borderId="150" xfId="0" applyFont="1" applyFill="1" applyBorder="1" applyAlignment="1">
      <alignment horizontal="right" vertical="top" wrapText="1"/>
    </xf>
    <xf numFmtId="0" fontId="25" fillId="5" borderId="152" xfId="0" applyFont="1" applyFill="1" applyBorder="1" applyAlignment="1">
      <alignment horizontal="right" vertical="top" wrapText="1"/>
    </xf>
    <xf numFmtId="9" fontId="25" fillId="23" borderId="134" xfId="2" applyFont="1" applyFill="1" applyBorder="1" applyAlignment="1">
      <alignment vertical="top" wrapText="1"/>
    </xf>
    <xf numFmtId="0" fontId="58" fillId="24" borderId="151" xfId="0" applyFont="1" applyFill="1" applyBorder="1" applyAlignment="1">
      <alignment vertical="center" wrapText="1"/>
    </xf>
    <xf numFmtId="0" fontId="22" fillId="5" borderId="137" xfId="0" applyFont="1" applyFill="1" applyBorder="1" applyAlignment="1">
      <alignment horizontal="left" vertical="top" wrapText="1"/>
    </xf>
    <xf numFmtId="0" fontId="22" fillId="5" borderId="137" xfId="0" applyFont="1" applyFill="1" applyBorder="1" applyAlignment="1">
      <alignment horizontal="center" vertical="top"/>
    </xf>
    <xf numFmtId="49" fontId="22" fillId="5" borderId="137" xfId="2" applyNumberFormat="1" applyFont="1" applyFill="1" applyBorder="1" applyAlignment="1">
      <alignment horizontal="center" vertical="top"/>
    </xf>
    <xf numFmtId="49" fontId="22" fillId="5" borderId="137" xfId="2" applyNumberFormat="1" applyFont="1" applyFill="1" applyBorder="1" applyAlignment="1">
      <alignment horizontal="center" vertical="top" wrapText="1"/>
    </xf>
    <xf numFmtId="9" fontId="22" fillId="5" borderId="137" xfId="0" applyNumberFormat="1" applyFont="1" applyFill="1" applyBorder="1" applyAlignment="1">
      <alignment horizontal="center" vertical="top" wrapText="1"/>
    </xf>
    <xf numFmtId="0" fontId="22" fillId="5" borderId="137" xfId="0" applyFont="1" applyFill="1" applyBorder="1" applyAlignment="1">
      <alignment vertical="center" wrapText="1"/>
    </xf>
    <xf numFmtId="0" fontId="22" fillId="0" borderId="137" xfId="0" applyFont="1" applyBorder="1" applyAlignment="1">
      <alignment horizontal="left" vertical="top" wrapText="1"/>
    </xf>
    <xf numFmtId="0" fontId="22" fillId="0" borderId="137" xfId="0" applyFont="1" applyBorder="1" applyAlignment="1">
      <alignment horizontal="center" vertical="top" wrapText="1"/>
    </xf>
    <xf numFmtId="49" fontId="22" fillId="0" borderId="137" xfId="2" applyNumberFormat="1" applyFont="1" applyBorder="1" applyAlignment="1">
      <alignment horizontal="center" vertical="top" wrapText="1"/>
    </xf>
    <xf numFmtId="0" fontId="22" fillId="0" borderId="137" xfId="0" applyFont="1" applyBorder="1" applyAlignment="1">
      <alignment vertical="center" wrapText="1"/>
    </xf>
    <xf numFmtId="0" fontId="22" fillId="0" borderId="137" xfId="0" applyFont="1" applyBorder="1" applyAlignment="1">
      <alignment vertical="top" wrapText="1"/>
    </xf>
    <xf numFmtId="0" fontId="22" fillId="5" borderId="137" xfId="0" applyFont="1" applyFill="1" applyBorder="1" applyAlignment="1">
      <alignment horizontal="center" vertical="top" wrapText="1"/>
    </xf>
    <xf numFmtId="9" fontId="22" fillId="5" borderId="137" xfId="2" applyFont="1" applyFill="1" applyBorder="1" applyAlignment="1">
      <alignment horizontal="center" vertical="top" wrapText="1"/>
    </xf>
    <xf numFmtId="0" fontId="22" fillId="5" borderId="148" xfId="0" applyFont="1" applyFill="1" applyBorder="1" applyAlignment="1">
      <alignment horizontal="left" vertical="top" wrapText="1"/>
    </xf>
    <xf numFmtId="0" fontId="22" fillId="5" borderId="148" xfId="0" applyFont="1" applyFill="1" applyBorder="1" applyAlignment="1">
      <alignment horizontal="center" vertical="top"/>
    </xf>
    <xf numFmtId="9" fontId="22" fillId="5" borderId="148" xfId="2" applyFont="1" applyFill="1" applyBorder="1" applyAlignment="1">
      <alignment horizontal="center" vertical="top"/>
    </xf>
    <xf numFmtId="9" fontId="22" fillId="5" borderId="148" xfId="0" applyNumberFormat="1" applyFont="1" applyFill="1" applyBorder="1" applyAlignment="1">
      <alignment horizontal="center" vertical="top" wrapText="1"/>
    </xf>
    <xf numFmtId="9" fontId="22" fillId="12" borderId="151" xfId="0" applyNumberFormat="1" applyFont="1" applyFill="1" applyBorder="1" applyAlignment="1">
      <alignment horizontal="left" vertical="center" wrapText="1"/>
    </xf>
    <xf numFmtId="0" fontId="21" fillId="21" borderId="13" xfId="0" applyFont="1" applyFill="1" applyBorder="1" applyAlignment="1">
      <alignment vertical="top" wrapText="1"/>
    </xf>
    <xf numFmtId="0" fontId="58" fillId="5" borderId="2" xfId="0" applyFont="1" applyFill="1" applyBorder="1" applyAlignment="1">
      <alignment vertical="top" wrapText="1"/>
    </xf>
    <xf numFmtId="0" fontId="58" fillId="5" borderId="0" xfId="0" applyFont="1" applyFill="1" applyAlignment="1">
      <alignment vertical="top" wrapText="1"/>
    </xf>
    <xf numFmtId="0" fontId="58" fillId="5" borderId="77" xfId="0" applyFont="1" applyFill="1" applyBorder="1" applyAlignment="1">
      <alignment horizontal="right" vertical="top" wrapText="1"/>
    </xf>
    <xf numFmtId="0" fontId="6" fillId="3" borderId="1" xfId="0" applyFont="1" applyFill="1" applyBorder="1" applyAlignment="1">
      <alignment horizontal="center" vertical="center" wrapText="1"/>
    </xf>
    <xf numFmtId="0" fontId="6" fillId="3" borderId="137" xfId="0" applyFont="1" applyFill="1" applyBorder="1" applyAlignment="1">
      <alignment horizontal="center" vertical="center" wrapText="1"/>
    </xf>
    <xf numFmtId="0" fontId="52" fillId="5" borderId="137" xfId="0" applyFont="1" applyFill="1" applyBorder="1" applyAlignment="1">
      <alignment vertical="top" wrapText="1"/>
    </xf>
    <xf numFmtId="0" fontId="10" fillId="5" borderId="137" xfId="0" applyFont="1" applyFill="1" applyBorder="1" applyAlignment="1">
      <alignment horizontal="center" vertical="top" wrapText="1"/>
    </xf>
    <xf numFmtId="9" fontId="10" fillId="5" borderId="137" xfId="0" applyNumberFormat="1" applyFont="1" applyFill="1" applyBorder="1" applyAlignment="1">
      <alignment horizontal="center" vertical="top" wrapText="1"/>
    </xf>
    <xf numFmtId="0" fontId="6" fillId="5" borderId="133" xfId="0" applyFont="1" applyFill="1" applyBorder="1" applyAlignment="1">
      <alignment horizontal="center" vertical="top" wrapText="1"/>
    </xf>
    <xf numFmtId="0" fontId="7" fillId="5" borderId="137" xfId="0" applyFont="1" applyFill="1" applyBorder="1" applyAlignment="1">
      <alignment vertical="top" wrapText="1"/>
    </xf>
    <xf numFmtId="0" fontId="7" fillId="5" borderId="137" xfId="0" applyFont="1" applyFill="1" applyBorder="1" applyAlignment="1">
      <alignment horizontal="center" vertical="top" wrapText="1"/>
    </xf>
    <xf numFmtId="3" fontId="7" fillId="5" borderId="137" xfId="0" applyNumberFormat="1" applyFont="1" applyFill="1" applyBorder="1" applyAlignment="1">
      <alignment horizontal="center" vertical="top" wrapText="1"/>
    </xf>
    <xf numFmtId="9" fontId="52" fillId="5" borderId="137" xfId="0" applyNumberFormat="1" applyFont="1" applyFill="1" applyBorder="1" applyAlignment="1">
      <alignment horizontal="center" vertical="top" wrapText="1"/>
    </xf>
    <xf numFmtId="0" fontId="141" fillId="5" borderId="138" xfId="0" applyFont="1" applyFill="1" applyBorder="1" applyAlignment="1">
      <alignment vertical="top" wrapText="1"/>
    </xf>
    <xf numFmtId="0" fontId="7" fillId="5" borderId="138" xfId="0" applyFont="1" applyFill="1" applyBorder="1" applyAlignment="1">
      <alignment vertical="top" wrapText="1"/>
    </xf>
    <xf numFmtId="0" fontId="7" fillId="0" borderId="137" xfId="0" applyFont="1" applyBorder="1" applyAlignment="1">
      <alignment vertical="top" wrapText="1"/>
    </xf>
    <xf numFmtId="0" fontId="7" fillId="5" borderId="137" xfId="0" applyFont="1" applyFill="1" applyBorder="1" applyAlignment="1">
      <alignment horizontal="right" vertical="top" wrapText="1"/>
    </xf>
    <xf numFmtId="0" fontId="142" fillId="5" borderId="138" xfId="3" applyFont="1" applyFill="1" applyBorder="1" applyAlignment="1">
      <alignment vertical="top" wrapText="1"/>
    </xf>
    <xf numFmtId="0" fontId="7" fillId="0" borderId="137" xfId="0" applyFont="1" applyBorder="1" applyAlignment="1">
      <alignment vertical="center" wrapText="1"/>
    </xf>
    <xf numFmtId="0" fontId="144" fillId="0" borderId="137" xfId="0" applyFont="1" applyBorder="1" applyAlignment="1">
      <alignment horizontal="center" vertical="top" wrapText="1"/>
    </xf>
    <xf numFmtId="0" fontId="144" fillId="0" borderId="151" xfId="0" applyFont="1" applyBorder="1" applyAlignment="1">
      <alignment vertical="top" wrapText="1"/>
    </xf>
    <xf numFmtId="0" fontId="144" fillId="0" borderId="137" xfId="0" applyFont="1" applyBorder="1" applyAlignment="1">
      <alignment vertical="top" wrapText="1"/>
    </xf>
    <xf numFmtId="9" fontId="144" fillId="5" borderId="137" xfId="0" applyNumberFormat="1" applyFont="1" applyFill="1" applyBorder="1" applyAlignment="1">
      <alignment horizontal="center" vertical="top" wrapText="1"/>
    </xf>
    <xf numFmtId="9" fontId="52" fillId="5" borderId="89" xfId="0" applyNumberFormat="1" applyFont="1" applyFill="1" applyBorder="1" applyAlignment="1">
      <alignment horizontal="center" vertical="top" wrapText="1"/>
    </xf>
    <xf numFmtId="0" fontId="144" fillId="5" borderId="138" xfId="0" applyFont="1" applyFill="1" applyBorder="1" applyAlignment="1">
      <alignment vertical="top" wrapText="1"/>
    </xf>
    <xf numFmtId="0" fontId="7" fillId="0" borderId="137" xfId="0" applyFont="1" applyBorder="1" applyAlignment="1">
      <alignment horizontal="center" vertical="top" wrapText="1"/>
    </xf>
    <xf numFmtId="0" fontId="7" fillId="0" borderId="137" xfId="0" applyFont="1" applyBorder="1" applyAlignment="1">
      <alignment horizontal="left" vertical="top" wrapText="1"/>
    </xf>
    <xf numFmtId="9" fontId="7" fillId="5" borderId="137" xfId="0" applyNumberFormat="1" applyFont="1" applyFill="1" applyBorder="1" applyAlignment="1">
      <alignment horizontal="center" vertical="top" wrapText="1"/>
    </xf>
    <xf numFmtId="9" fontId="52" fillId="0" borderId="0" xfId="0" applyNumberFormat="1" applyFont="1" applyAlignment="1">
      <alignment wrapText="1"/>
    </xf>
    <xf numFmtId="9" fontId="7" fillId="5" borderId="137" xfId="2" applyFont="1" applyFill="1" applyBorder="1" applyAlignment="1">
      <alignment horizontal="center" vertical="top" wrapText="1"/>
    </xf>
    <xf numFmtId="0" fontId="7" fillId="5" borderId="138" xfId="0" applyFont="1" applyFill="1" applyBorder="1" applyAlignment="1">
      <alignment horizontal="left" vertical="top" wrapText="1"/>
    </xf>
    <xf numFmtId="0" fontId="31" fillId="5" borderId="138" xfId="3" applyFill="1" applyBorder="1" applyAlignment="1">
      <alignment vertical="top" wrapText="1"/>
    </xf>
    <xf numFmtId="0" fontId="58" fillId="30" borderId="137" xfId="0" applyFont="1" applyFill="1" applyBorder="1" applyAlignment="1">
      <alignment horizontal="center" vertical="center" wrapText="1"/>
    </xf>
    <xf numFmtId="0" fontId="58" fillId="30" borderId="137" xfId="0" applyFont="1" applyFill="1" applyBorder="1" applyAlignment="1">
      <alignment horizontal="center" vertical="center"/>
    </xf>
    <xf numFmtId="0" fontId="58" fillId="30" borderId="150" xfId="0" applyFont="1" applyFill="1" applyBorder="1" applyAlignment="1">
      <alignment horizontal="center" vertical="center"/>
    </xf>
    <xf numFmtId="0" fontId="131" fillId="10" borderId="147" xfId="0" applyFont="1" applyFill="1" applyBorder="1" applyAlignment="1">
      <alignment horizontal="center" vertical="center" wrapText="1"/>
    </xf>
    <xf numFmtId="0" fontId="131" fillId="39" borderId="153" xfId="0" applyFont="1" applyFill="1" applyBorder="1" applyAlignment="1">
      <alignment horizontal="center" vertical="center" wrapText="1"/>
    </xf>
    <xf numFmtId="0" fontId="131" fillId="39" borderId="153" xfId="0" applyFont="1" applyFill="1" applyBorder="1" applyAlignment="1">
      <alignment vertical="center" wrapText="1"/>
    </xf>
    <xf numFmtId="41" fontId="131" fillId="39" borderId="153" xfId="0" applyNumberFormat="1" applyFont="1" applyFill="1" applyBorder="1" applyAlignment="1">
      <alignment horizontal="center" vertical="center"/>
    </xf>
    <xf numFmtId="0" fontId="131" fillId="0" borderId="147" xfId="0" applyFont="1" applyBorder="1" applyAlignment="1">
      <alignment vertical="center" wrapText="1"/>
    </xf>
    <xf numFmtId="0" fontId="126" fillId="39" borderId="152" xfId="0" applyFont="1" applyFill="1" applyBorder="1" applyAlignment="1">
      <alignment vertical="center"/>
    </xf>
    <xf numFmtId="0" fontId="52" fillId="9" borderId="152" xfId="0" applyFont="1" applyFill="1" applyBorder="1" applyAlignment="1">
      <alignment horizontal="center" vertical="center"/>
    </xf>
    <xf numFmtId="0" fontId="125" fillId="9" borderId="148" xfId="0" applyFont="1" applyFill="1" applyBorder="1" applyAlignment="1">
      <alignment vertical="center" wrapText="1"/>
    </xf>
    <xf numFmtId="41" fontId="125" fillId="9" borderId="148" xfId="0" applyNumberFormat="1" applyFont="1" applyFill="1" applyBorder="1" applyAlignment="1">
      <alignment vertical="center" wrapText="1"/>
    </xf>
    <xf numFmtId="41" fontId="125" fillId="9" borderId="148" xfId="0" applyNumberFormat="1" applyFont="1" applyFill="1" applyBorder="1" applyAlignment="1">
      <alignment horizontal="center" vertical="center" wrapText="1"/>
    </xf>
    <xf numFmtId="0" fontId="126" fillId="9" borderId="148" xfId="0" applyFont="1" applyFill="1" applyBorder="1" applyAlignment="1">
      <alignment vertical="center" wrapText="1"/>
    </xf>
    <xf numFmtId="0" fontId="131" fillId="38" borderId="133" xfId="0" applyFont="1" applyFill="1" applyBorder="1" applyAlignment="1">
      <alignment vertical="center" wrapText="1"/>
    </xf>
    <xf numFmtId="0" fontId="25" fillId="0" borderId="0" xfId="0" applyFont="1" applyAlignment="1">
      <alignment vertical="center" wrapText="1"/>
    </xf>
    <xf numFmtId="0" fontId="25" fillId="0" borderId="0" xfId="0" applyFont="1" applyAlignment="1">
      <alignment horizontal="center" vertical="center" wrapText="1"/>
    </xf>
    <xf numFmtId="41" fontId="25" fillId="0" borderId="0" xfId="0" applyNumberFormat="1" applyFont="1" applyAlignment="1">
      <alignment vertical="center" wrapText="1"/>
    </xf>
    <xf numFmtId="41" fontId="25" fillId="30" borderId="0" xfId="0" applyNumberFormat="1" applyFont="1" applyFill="1" applyAlignment="1">
      <alignment vertical="center" wrapText="1"/>
    </xf>
    <xf numFmtId="41" fontId="25" fillId="30" borderId="0" xfId="0" applyNumberFormat="1" applyFont="1" applyFill="1" applyAlignment="1">
      <alignment horizontal="center" vertical="center" wrapText="1"/>
    </xf>
    <xf numFmtId="0" fontId="25" fillId="39" borderId="118" xfId="0" applyFont="1" applyFill="1" applyBorder="1" applyAlignment="1">
      <alignment horizontal="center" vertical="center" wrapText="1"/>
    </xf>
    <xf numFmtId="0" fontId="58" fillId="39" borderId="118" xfId="0" applyFont="1" applyFill="1" applyBorder="1" applyAlignment="1">
      <alignment vertical="center" wrapText="1"/>
    </xf>
    <xf numFmtId="41" fontId="58" fillId="39" borderId="118" xfId="0" applyNumberFormat="1" applyFont="1" applyFill="1" applyBorder="1" applyAlignment="1">
      <alignment vertical="center" wrapText="1"/>
    </xf>
    <xf numFmtId="41" fontId="58" fillId="39" borderId="118" xfId="0" applyNumberFormat="1" applyFont="1" applyFill="1" applyBorder="1" applyAlignment="1">
      <alignment horizontal="center" vertical="center" wrapText="1"/>
    </xf>
    <xf numFmtId="0" fontId="155" fillId="39" borderId="118" xfId="0" applyFont="1" applyFill="1" applyBorder="1" applyAlignment="1">
      <alignment vertical="center" wrapText="1"/>
    </xf>
    <xf numFmtId="0" fontId="155" fillId="0" borderId="0" xfId="0" applyFont="1" applyAlignment="1">
      <alignment horizontal="center" vertical="center" wrapText="1"/>
    </xf>
    <xf numFmtId="41" fontId="162" fillId="0" borderId="0" xfId="0" applyNumberFormat="1" applyFont="1" applyAlignment="1">
      <alignment vertical="center" wrapText="1"/>
    </xf>
    <xf numFmtId="0" fontId="18" fillId="39" borderId="118" xfId="0" applyFont="1" applyFill="1" applyBorder="1" applyAlignment="1">
      <alignment vertical="center" wrapText="1"/>
    </xf>
    <xf numFmtId="9" fontId="131" fillId="9" borderId="118" xfId="2" applyFont="1" applyFill="1" applyBorder="1" applyAlignment="1">
      <alignment horizontal="center" vertical="center"/>
    </xf>
    <xf numFmtId="0" fontId="131" fillId="5" borderId="0" xfId="0" applyFont="1" applyFill="1" applyAlignment="1">
      <alignment horizontal="center" vertical="center"/>
    </xf>
    <xf numFmtId="0" fontId="131" fillId="5" borderId="0" xfId="0" applyFont="1" applyFill="1" applyAlignment="1">
      <alignment vertical="center"/>
    </xf>
    <xf numFmtId="41" fontId="131" fillId="5" borderId="0" xfId="0" applyNumberFormat="1" applyFont="1" applyFill="1" applyAlignment="1">
      <alignment vertical="center"/>
    </xf>
    <xf numFmtId="41" fontId="131" fillId="5" borderId="0" xfId="0" applyNumberFormat="1" applyFont="1" applyFill="1" applyAlignment="1">
      <alignment vertical="center" wrapText="1"/>
    </xf>
    <xf numFmtId="0" fontId="131" fillId="5" borderId="0" xfId="0" applyFont="1" applyFill="1" applyAlignment="1">
      <alignment vertical="center" wrapText="1"/>
    </xf>
    <xf numFmtId="0" fontId="172" fillId="5" borderId="0" xfId="0" applyFont="1" applyFill="1"/>
    <xf numFmtId="0" fontId="158" fillId="5" borderId="0" xfId="0" applyFont="1" applyFill="1" applyAlignment="1">
      <alignment vertical="center"/>
    </xf>
    <xf numFmtId="9" fontId="131" fillId="5" borderId="0" xfId="0" applyNumberFormat="1" applyFont="1" applyFill="1" applyAlignment="1">
      <alignment horizontal="right" vertical="center"/>
    </xf>
    <xf numFmtId="9" fontId="52" fillId="5" borderId="0" xfId="0" applyNumberFormat="1" applyFont="1" applyFill="1" applyAlignment="1">
      <alignment horizontal="right" vertical="center"/>
    </xf>
    <xf numFmtId="9" fontId="131" fillId="5" borderId="0" xfId="2" applyFont="1" applyFill="1" applyBorder="1" applyAlignment="1">
      <alignment horizontal="right" vertical="center"/>
    </xf>
    <xf numFmtId="9" fontId="131" fillId="5" borderId="0" xfId="2" applyFont="1" applyFill="1" applyBorder="1" applyAlignment="1">
      <alignment horizontal="right" vertical="center" wrapText="1"/>
    </xf>
    <xf numFmtId="9" fontId="1" fillId="5" borderId="0" xfId="2" applyFont="1" applyFill="1" applyBorder="1" applyAlignment="1">
      <alignment horizontal="right" vertical="center"/>
    </xf>
    <xf numFmtId="9" fontId="131" fillId="5" borderId="0" xfId="0" applyNumberFormat="1" applyFont="1" applyFill="1" applyAlignment="1">
      <alignment horizontal="right" vertical="center" wrapText="1"/>
    </xf>
    <xf numFmtId="9" fontId="0" fillId="5" borderId="0" xfId="0" applyNumberFormat="1" applyFill="1" applyAlignment="1">
      <alignment horizontal="right"/>
    </xf>
    <xf numFmtId="41" fontId="131" fillId="5" borderId="0" xfId="0" applyNumberFormat="1" applyFont="1" applyFill="1" applyAlignment="1">
      <alignment horizontal="right" vertical="center"/>
    </xf>
    <xf numFmtId="41" fontId="52" fillId="5" borderId="0" xfId="0" applyNumberFormat="1" applyFont="1" applyFill="1" applyAlignment="1">
      <alignment vertical="center"/>
    </xf>
    <xf numFmtId="41" fontId="158" fillId="5" borderId="0" xfId="0" applyNumberFormat="1" applyFont="1" applyFill="1" applyAlignment="1">
      <alignment vertical="center"/>
    </xf>
    <xf numFmtId="41" fontId="25" fillId="5" borderId="0" xfId="0" applyNumberFormat="1" applyFont="1" applyFill="1" applyAlignment="1">
      <alignment vertical="center" wrapText="1"/>
    </xf>
    <xf numFmtId="41" fontId="0" fillId="5" borderId="0" xfId="0" applyNumberFormat="1" applyFill="1"/>
    <xf numFmtId="0" fontId="0" fillId="23" borderId="0" xfId="0" applyFill="1"/>
    <xf numFmtId="0" fontId="0" fillId="23" borderId="153" xfId="0" applyFill="1" applyBorder="1"/>
    <xf numFmtId="41" fontId="0" fillId="23" borderId="153" xfId="0" applyNumberFormat="1" applyFill="1" applyBorder="1"/>
    <xf numFmtId="9" fontId="0" fillId="23" borderId="153" xfId="0" applyNumberFormat="1" applyFill="1" applyBorder="1" applyAlignment="1">
      <alignment horizontal="right"/>
    </xf>
    <xf numFmtId="9" fontId="131" fillId="5" borderId="0" xfId="2" applyFont="1" applyFill="1" applyBorder="1" applyAlignment="1">
      <alignment horizontal="left" vertical="center"/>
    </xf>
    <xf numFmtId="9" fontId="131" fillId="5" borderId="0" xfId="0" applyNumberFormat="1" applyFont="1" applyFill="1" applyAlignment="1">
      <alignment horizontal="left" vertical="center"/>
    </xf>
    <xf numFmtId="9" fontId="131" fillId="5" borderId="0" xfId="2" applyFont="1" applyFill="1" applyBorder="1" applyAlignment="1">
      <alignment horizontal="left" vertical="center" wrapText="1"/>
    </xf>
    <xf numFmtId="9" fontId="1" fillId="5" borderId="0" xfId="2" applyFont="1" applyFill="1" applyBorder="1" applyAlignment="1">
      <alignment horizontal="left" vertical="center"/>
    </xf>
    <xf numFmtId="9" fontId="25" fillId="5" borderId="0" xfId="2" applyFont="1" applyFill="1" applyBorder="1" applyAlignment="1">
      <alignment horizontal="left" vertical="center" wrapText="1"/>
    </xf>
    <xf numFmtId="9" fontId="131" fillId="5" borderId="0" xfId="0" applyNumberFormat="1" applyFont="1" applyFill="1" applyAlignment="1">
      <alignment horizontal="left" vertical="center" wrapText="1"/>
    </xf>
    <xf numFmtId="9" fontId="52" fillId="5" borderId="0" xfId="0" applyNumberFormat="1" applyFont="1" applyFill="1" applyAlignment="1">
      <alignment horizontal="left" vertical="center"/>
    </xf>
    <xf numFmtId="9" fontId="0" fillId="5" borderId="0" xfId="0" applyNumberFormat="1" applyFill="1" applyAlignment="1">
      <alignment horizontal="left"/>
    </xf>
    <xf numFmtId="0" fontId="0" fillId="23" borderId="153" xfId="0" applyFill="1" applyBorder="1" applyAlignment="1">
      <alignment horizontal="left"/>
    </xf>
    <xf numFmtId="0" fontId="0" fillId="5" borderId="0" xfId="0" applyFill="1" applyAlignment="1">
      <alignment horizontal="left"/>
    </xf>
    <xf numFmtId="0" fontId="0" fillId="0" borderId="0" xfId="0" applyAlignment="1">
      <alignment horizontal="left"/>
    </xf>
    <xf numFmtId="41" fontId="155" fillId="5" borderId="0" xfId="0" applyNumberFormat="1" applyFont="1" applyFill="1" applyAlignment="1">
      <alignment vertical="center" wrapText="1"/>
    </xf>
    <xf numFmtId="0" fontId="127" fillId="30" borderId="137" xfId="0" applyFont="1" applyFill="1" applyBorder="1" applyAlignment="1">
      <alignment horizontal="center" vertical="center" wrapText="1"/>
    </xf>
    <xf numFmtId="41" fontId="156" fillId="0" borderId="0" xfId="0" applyNumberFormat="1" applyFont="1" applyAlignment="1">
      <alignment vertical="center"/>
    </xf>
    <xf numFmtId="9" fontId="53" fillId="33" borderId="0" xfId="0" applyNumberFormat="1" applyFont="1" applyFill="1" applyAlignment="1">
      <alignment vertical="top" wrapText="1"/>
    </xf>
    <xf numFmtId="9" fontId="53" fillId="0" borderId="94" xfId="0" applyNumberFormat="1" applyFont="1" applyBorder="1" applyAlignment="1">
      <alignment horizontal="left" vertical="center"/>
    </xf>
    <xf numFmtId="9" fontId="53" fillId="41" borderId="94" xfId="0" applyNumberFormat="1" applyFont="1" applyFill="1" applyBorder="1" applyAlignment="1">
      <alignment horizontal="left" vertical="center"/>
    </xf>
    <xf numFmtId="0" fontId="58" fillId="30" borderId="137" xfId="0" applyFont="1" applyFill="1" applyBorder="1" applyAlignment="1">
      <alignment vertical="center" wrapText="1"/>
    </xf>
    <xf numFmtId="0" fontId="17" fillId="5" borderId="137" xfId="0" applyFont="1" applyFill="1" applyBorder="1" applyAlignment="1">
      <alignment horizontal="center" vertical="center" wrapText="1"/>
    </xf>
    <xf numFmtId="0" fontId="17" fillId="5" borderId="137" xfId="0" applyFont="1" applyFill="1" applyBorder="1" applyAlignment="1">
      <alignment horizontal="left" vertical="center" wrapText="1"/>
    </xf>
    <xf numFmtId="0" fontId="17" fillId="5" borderId="137" xfId="0" applyFont="1" applyFill="1" applyBorder="1" applyAlignment="1">
      <alignment vertical="center" wrapText="1"/>
    </xf>
    <xf numFmtId="9" fontId="17" fillId="5" borderId="137" xfId="0" applyNumberFormat="1" applyFont="1" applyFill="1" applyBorder="1" applyAlignment="1">
      <alignment horizontal="left" vertical="center" wrapText="1"/>
    </xf>
    <xf numFmtId="9" fontId="17" fillId="5" borderId="137" xfId="2" applyFont="1" applyFill="1" applyBorder="1" applyAlignment="1">
      <alignment horizontal="center" vertical="center" wrapText="1"/>
    </xf>
    <xf numFmtId="165" fontId="17" fillId="5" borderId="137" xfId="2" applyNumberFormat="1" applyFont="1" applyFill="1" applyBorder="1" applyAlignment="1">
      <alignment vertical="center" wrapText="1"/>
    </xf>
    <xf numFmtId="0" fontId="17" fillId="0" borderId="137" xfId="0" applyFont="1" applyBorder="1" applyAlignment="1">
      <alignment horizontal="justify" vertical="center"/>
    </xf>
    <xf numFmtId="0" fontId="7" fillId="0" borderId="137" xfId="0" applyFont="1" applyBorder="1" applyAlignment="1">
      <alignment vertical="center"/>
    </xf>
    <xf numFmtId="0" fontId="7" fillId="0" borderId="137" xfId="0" applyFont="1" applyBorder="1" applyAlignment="1">
      <alignment horizontal="left" vertical="center" wrapText="1"/>
    </xf>
    <xf numFmtId="0" fontId="7" fillId="0" borderId="137" xfId="0" applyFont="1" applyBorder="1" applyAlignment="1">
      <alignment horizontal="center" vertical="center"/>
    </xf>
    <xf numFmtId="0" fontId="53" fillId="33" borderId="154" xfId="0" applyFont="1" applyFill="1" applyBorder="1" applyAlignment="1">
      <alignment vertical="top" wrapText="1"/>
    </xf>
    <xf numFmtId="0" fontId="53" fillId="33" borderId="155" xfId="0" applyFont="1" applyFill="1" applyBorder="1" applyAlignment="1">
      <alignment horizontal="left" vertical="top" wrapText="1"/>
    </xf>
    <xf numFmtId="9" fontId="53" fillId="0" borderId="58" xfId="0" applyNumberFormat="1" applyFont="1" applyBorder="1" applyAlignment="1">
      <alignment wrapText="1"/>
    </xf>
    <xf numFmtId="0" fontId="55" fillId="0" borderId="137" xfId="0" applyFont="1" applyBorder="1" applyAlignment="1">
      <alignment wrapText="1"/>
    </xf>
    <xf numFmtId="0" fontId="58" fillId="30" borderId="148" xfId="0" applyFont="1" applyFill="1" applyBorder="1" applyAlignment="1">
      <alignment horizontal="center" vertical="center" wrapText="1"/>
    </xf>
    <xf numFmtId="0" fontId="58" fillId="30" borderId="65" xfId="0" applyFont="1" applyFill="1" applyBorder="1" applyAlignment="1">
      <alignment horizontal="center" vertical="center" wrapText="1"/>
    </xf>
    <xf numFmtId="0" fontId="125" fillId="0" borderId="73" xfId="0" applyFont="1" applyBorder="1" applyAlignment="1">
      <alignment horizontal="center" vertical="center"/>
    </xf>
    <xf numFmtId="0" fontId="58" fillId="10" borderId="137" xfId="0" applyFont="1" applyFill="1" applyBorder="1" applyAlignment="1">
      <alignment horizontal="center" vertical="center" wrapText="1"/>
    </xf>
    <xf numFmtId="167" fontId="58" fillId="30" borderId="137" xfId="0" applyNumberFormat="1" applyFont="1" applyFill="1" applyBorder="1" applyAlignment="1">
      <alignment horizontal="center" vertical="center" wrapText="1"/>
    </xf>
    <xf numFmtId="0" fontId="58" fillId="30" borderId="137" xfId="0" applyFont="1" applyFill="1" applyBorder="1" applyAlignment="1">
      <alignment horizontal="center" vertical="center" wrapText="1"/>
    </xf>
    <xf numFmtId="0" fontId="58" fillId="30" borderId="137" xfId="0" applyFont="1" applyFill="1" applyBorder="1" applyAlignment="1">
      <alignment horizontal="center" vertical="center"/>
    </xf>
    <xf numFmtId="0" fontId="58" fillId="30" borderId="150" xfId="0" applyFont="1" applyFill="1" applyBorder="1" applyAlignment="1">
      <alignment horizontal="center" vertical="center" wrapText="1"/>
    </xf>
    <xf numFmtId="0" fontId="58" fillId="30" borderId="149" xfId="0" applyFont="1" applyFill="1" applyBorder="1" applyAlignment="1">
      <alignment horizontal="center" vertical="center" wrapText="1"/>
    </xf>
    <xf numFmtId="0" fontId="58" fillId="30" borderId="147" xfId="0" applyFont="1" applyFill="1" applyBorder="1" applyAlignment="1">
      <alignment horizontal="center" vertical="center" wrapText="1"/>
    </xf>
    <xf numFmtId="0" fontId="58" fillId="30" borderId="134" xfId="0" applyFont="1" applyFill="1" applyBorder="1" applyAlignment="1">
      <alignment horizontal="center" vertical="center" wrapText="1"/>
    </xf>
    <xf numFmtId="0" fontId="146" fillId="0" borderId="0" xfId="0" applyFont="1" applyAlignment="1">
      <alignment horizontal="center" vertical="center"/>
    </xf>
    <xf numFmtId="0" fontId="148" fillId="10" borderId="105" xfId="0" applyFont="1" applyFill="1" applyBorder="1" applyAlignment="1">
      <alignment horizontal="center" vertical="center" wrapText="1"/>
    </xf>
    <xf numFmtId="0" fontId="148" fillId="10" borderId="65" xfId="0" applyFont="1" applyFill="1" applyBorder="1" applyAlignment="1">
      <alignment horizontal="center" vertical="center" wrapText="1"/>
    </xf>
    <xf numFmtId="167" fontId="149" fillId="30" borderId="105" xfId="0" applyNumberFormat="1" applyFont="1" applyFill="1" applyBorder="1" applyAlignment="1">
      <alignment horizontal="center" vertical="center" wrapText="1"/>
    </xf>
    <xf numFmtId="167" fontId="149" fillId="30" borderId="65" xfId="0" applyNumberFormat="1" applyFont="1" applyFill="1" applyBorder="1" applyAlignment="1">
      <alignment horizontal="center" vertical="center" wrapText="1"/>
    </xf>
    <xf numFmtId="0" fontId="149" fillId="30" borderId="105" xfId="0" applyFont="1" applyFill="1" applyBorder="1" applyAlignment="1">
      <alignment horizontal="center" vertical="center" wrapText="1"/>
    </xf>
    <xf numFmtId="0" fontId="149" fillId="30" borderId="65" xfId="0" applyFont="1" applyFill="1" applyBorder="1" applyAlignment="1">
      <alignment horizontal="center" vertical="center" wrapText="1"/>
    </xf>
    <xf numFmtId="0" fontId="149" fillId="30" borderId="82" xfId="0" applyFont="1" applyFill="1" applyBorder="1" applyAlignment="1">
      <alignment horizontal="center" vertical="center" wrapText="1"/>
    </xf>
    <xf numFmtId="0" fontId="149" fillId="30" borderId="136" xfId="0" applyFont="1" applyFill="1" applyBorder="1" applyAlignment="1">
      <alignment horizontal="center" vertical="center" wrapText="1"/>
    </xf>
    <xf numFmtId="0" fontId="149" fillId="30" borderId="9" xfId="0" applyFont="1" applyFill="1" applyBorder="1" applyAlignment="1">
      <alignment horizontal="center" vertical="center" wrapText="1"/>
    </xf>
    <xf numFmtId="0" fontId="126" fillId="30" borderId="137" xfId="0" applyFont="1" applyFill="1" applyBorder="1" applyAlignment="1">
      <alignment horizontal="center" vertical="center" wrapText="1"/>
    </xf>
    <xf numFmtId="0" fontId="30" fillId="10" borderId="148" xfId="0" applyFont="1" applyFill="1" applyBorder="1" applyAlignment="1">
      <alignment horizontal="left" vertical="center" wrapText="1"/>
    </xf>
    <xf numFmtId="0" fontId="30" fillId="10" borderId="133" xfId="0" applyFont="1" applyFill="1" applyBorder="1" applyAlignment="1">
      <alignment horizontal="left" vertical="center" wrapText="1"/>
    </xf>
    <xf numFmtId="0" fontId="30" fillId="10" borderId="65" xfId="0" applyFont="1" applyFill="1" applyBorder="1" applyAlignment="1">
      <alignment horizontal="left" vertical="center" wrapText="1"/>
    </xf>
    <xf numFmtId="0" fontId="131" fillId="39" borderId="118" xfId="0" applyFont="1" applyFill="1" applyBorder="1" applyAlignment="1">
      <alignment horizontal="center" vertical="center" wrapText="1"/>
    </xf>
    <xf numFmtId="0" fontId="157" fillId="0" borderId="0" xfId="0" applyFont="1" applyAlignment="1">
      <alignment horizontal="left" vertical="center"/>
    </xf>
    <xf numFmtId="0" fontId="12" fillId="0" borderId="0" xfId="0" applyFont="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0" fillId="0" borderId="6" xfId="0" applyBorder="1" applyAlignment="1">
      <alignment horizontal="center" vertical="top" wrapText="1"/>
    </xf>
    <xf numFmtId="0" fontId="0" fillId="0" borderId="10" xfId="0" applyBorder="1" applyAlignment="1">
      <alignment horizontal="center" vertical="top" wrapText="1"/>
    </xf>
    <xf numFmtId="0" fontId="77" fillId="0" borderId="103" xfId="0" applyFont="1" applyBorder="1" applyAlignment="1">
      <alignment horizontal="left" vertical="center" wrapText="1"/>
    </xf>
    <xf numFmtId="0" fontId="77" fillId="0" borderId="104" xfId="0" applyFont="1" applyBorder="1" applyAlignment="1">
      <alignment horizontal="left" vertical="center" wrapText="1"/>
    </xf>
    <xf numFmtId="0" fontId="77" fillId="0" borderId="109" xfId="0" applyFont="1" applyBorder="1" applyAlignment="1">
      <alignment horizontal="left" vertical="center" wrapText="1"/>
    </xf>
    <xf numFmtId="0" fontId="35" fillId="0" borderId="33" xfId="0" applyFont="1" applyBorder="1" applyAlignment="1">
      <alignment horizontal="center"/>
    </xf>
    <xf numFmtId="0" fontId="0" fillId="0" borderId="8" xfId="0" applyBorder="1" applyAlignment="1">
      <alignment horizontal="center" vertical="top" wrapText="1"/>
    </xf>
    <xf numFmtId="0" fontId="0" fillId="0" borderId="106" xfId="0" applyBorder="1" applyAlignment="1">
      <alignment horizontal="center" vertical="top" wrapText="1"/>
    </xf>
    <xf numFmtId="0" fontId="77" fillId="0" borderId="103" xfId="0" applyFont="1" applyBorder="1" applyAlignment="1">
      <alignment horizontal="left" vertical="top" wrapText="1"/>
    </xf>
    <xf numFmtId="0" fontId="77" fillId="0" borderId="104" xfId="0" applyFont="1" applyBorder="1" applyAlignment="1">
      <alignment horizontal="left" vertical="top" wrapText="1"/>
    </xf>
    <xf numFmtId="0" fontId="32" fillId="0" borderId="1" xfId="0" applyFont="1" applyBorder="1" applyAlignment="1">
      <alignment horizontal="left" vertical="center" wrapText="1"/>
    </xf>
    <xf numFmtId="0" fontId="32" fillId="0" borderId="2" xfId="0" applyFont="1" applyBorder="1" applyAlignment="1">
      <alignment horizontal="left" vertical="center" wrapText="1"/>
    </xf>
    <xf numFmtId="0" fontId="32" fillId="0" borderId="3" xfId="0" applyFont="1" applyBorder="1" applyAlignment="1">
      <alignment horizontal="left" vertical="center" wrapText="1"/>
    </xf>
    <xf numFmtId="0" fontId="0" fillId="0" borderId="12" xfId="0" applyBorder="1" applyAlignment="1">
      <alignment horizontal="center" vertical="top" wrapText="1"/>
    </xf>
    <xf numFmtId="0" fontId="8" fillId="0" borderId="8" xfId="0" applyFont="1" applyBorder="1" applyAlignment="1">
      <alignment horizontal="left" vertical="top" wrapText="1"/>
    </xf>
    <xf numFmtId="0" fontId="8" fillId="0" borderId="6" xfId="0" applyFont="1" applyBorder="1" applyAlignment="1">
      <alignment horizontal="left" vertical="top" wrapText="1"/>
    </xf>
    <xf numFmtId="0" fontId="8" fillId="0" borderId="10" xfId="0" applyFont="1" applyBorder="1" applyAlignment="1">
      <alignment horizontal="left" vertical="top" wrapText="1"/>
    </xf>
    <xf numFmtId="0" fontId="8" fillId="0" borderId="8" xfId="0" applyFont="1" applyBorder="1" applyAlignment="1">
      <alignment horizontal="center" vertical="top" wrapText="1"/>
    </xf>
    <xf numFmtId="0" fontId="8" fillId="0" borderId="10" xfId="0" applyFont="1" applyBorder="1" applyAlignment="1">
      <alignment horizontal="center" vertical="top" wrapText="1"/>
    </xf>
    <xf numFmtId="0" fontId="83" fillId="0" borderId="137" xfId="0" applyFont="1" applyBorder="1" applyAlignment="1">
      <alignment horizontal="left" vertical="center" wrapText="1"/>
    </xf>
    <xf numFmtId="0" fontId="83" fillId="0" borderId="0" xfId="0" applyFont="1" applyAlignment="1">
      <alignment horizontal="left" vertical="center" wrapText="1"/>
    </xf>
    <xf numFmtId="0" fontId="83" fillId="0" borderId="50" xfId="0" applyFont="1" applyBorder="1" applyAlignment="1">
      <alignment horizontal="left" vertical="center" wrapText="1"/>
    </xf>
    <xf numFmtId="0" fontId="83" fillId="0" borderId="138" xfId="0" applyFont="1" applyBorder="1" applyAlignment="1">
      <alignment horizontal="left" vertical="center" wrapText="1"/>
    </xf>
    <xf numFmtId="0" fontId="83" fillId="0" borderId="139" xfId="0" applyFont="1" applyBorder="1" applyAlignment="1">
      <alignment horizontal="left" vertical="center" wrapText="1"/>
    </xf>
    <xf numFmtId="0" fontId="83" fillId="0" borderId="151" xfId="0" applyFont="1" applyBorder="1" applyAlignment="1">
      <alignment horizontal="left" vertical="center" wrapText="1"/>
    </xf>
    <xf numFmtId="0" fontId="17" fillId="0" borderId="137" xfId="0" applyFont="1" applyBorder="1" applyAlignment="1">
      <alignment horizontal="center" vertical="center"/>
    </xf>
    <xf numFmtId="0" fontId="17" fillId="5" borderId="137" xfId="0" applyFont="1" applyFill="1" applyBorder="1" applyAlignment="1">
      <alignment horizontal="left" vertical="center" wrapText="1"/>
    </xf>
    <xf numFmtId="0" fontId="17" fillId="0" borderId="137" xfId="0" applyFont="1" applyBorder="1" applyAlignment="1">
      <alignment horizontal="left" vertical="center" wrapText="1"/>
    </xf>
    <xf numFmtId="0" fontId="17" fillId="0" borderId="148" xfId="0" applyFont="1" applyBorder="1" applyAlignment="1">
      <alignment horizontal="center" vertical="center"/>
    </xf>
    <xf numFmtId="0" fontId="17" fillId="0" borderId="133" xfId="0" applyFont="1" applyBorder="1" applyAlignment="1">
      <alignment horizontal="center" vertical="center"/>
    </xf>
    <xf numFmtId="0" fontId="17" fillId="0" borderId="65" xfId="0" applyFont="1" applyBorder="1" applyAlignment="1">
      <alignment horizontal="center" vertical="center"/>
    </xf>
    <xf numFmtId="0" fontId="17" fillId="5" borderId="148" xfId="0" applyFont="1" applyFill="1" applyBorder="1" applyAlignment="1">
      <alignment horizontal="left" vertical="center" wrapText="1"/>
    </xf>
    <xf numFmtId="0" fontId="17" fillId="5" borderId="133" xfId="0" applyFont="1" applyFill="1" applyBorder="1" applyAlignment="1">
      <alignment horizontal="left" vertical="center" wrapText="1"/>
    </xf>
    <xf numFmtId="0" fontId="17" fillId="5" borderId="65" xfId="0" applyFont="1" applyFill="1" applyBorder="1" applyAlignment="1">
      <alignment horizontal="left" vertical="center" wrapText="1"/>
    </xf>
    <xf numFmtId="0" fontId="35" fillId="0" borderId="0" xfId="0" applyFont="1" applyAlignment="1">
      <alignment horizontal="center"/>
    </xf>
    <xf numFmtId="0" fontId="36" fillId="3" borderId="1" xfId="0" applyFont="1" applyFill="1" applyBorder="1" applyAlignment="1">
      <alignment horizontal="left" vertical="center" wrapText="1"/>
    </xf>
    <xf numFmtId="0" fontId="36" fillId="3" borderId="2" xfId="0" applyFont="1" applyFill="1" applyBorder="1" applyAlignment="1">
      <alignment horizontal="left" vertical="center" wrapText="1"/>
    </xf>
    <xf numFmtId="0" fontId="36" fillId="3" borderId="3"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9" fontId="83" fillId="3" borderId="1" xfId="2" applyFont="1" applyFill="1" applyBorder="1" applyAlignment="1">
      <alignment horizontal="left" vertical="center" wrapText="1"/>
    </xf>
    <xf numFmtId="9" fontId="108" fillId="3" borderId="2" xfId="2" applyFont="1" applyFill="1" applyBorder="1" applyAlignment="1">
      <alignment horizontal="left" vertical="center" wrapText="1"/>
    </xf>
    <xf numFmtId="9" fontId="108" fillId="3" borderId="3" xfId="2" applyFont="1" applyFill="1" applyBorder="1" applyAlignment="1">
      <alignment horizontal="left" vertical="center" wrapText="1"/>
    </xf>
    <xf numFmtId="9" fontId="36" fillId="3" borderId="1" xfId="2" applyFont="1" applyFill="1" applyBorder="1" applyAlignment="1">
      <alignment horizontal="left" vertical="center" wrapText="1"/>
    </xf>
    <xf numFmtId="9" fontId="36" fillId="3" borderId="2" xfId="2" applyFont="1" applyFill="1" applyBorder="1" applyAlignment="1">
      <alignment horizontal="left" vertical="center" wrapText="1"/>
    </xf>
    <xf numFmtId="9" fontId="36" fillId="3" borderId="3" xfId="2" applyFont="1" applyFill="1" applyBorder="1" applyAlignment="1">
      <alignment horizontal="left" vertical="center" wrapText="1"/>
    </xf>
    <xf numFmtId="0" fontId="7" fillId="0" borderId="16" xfId="0" applyFont="1" applyBorder="1" applyAlignment="1">
      <alignment horizontal="left" vertical="center" wrapText="1"/>
    </xf>
    <xf numFmtId="0" fontId="7" fillId="0" borderId="65" xfId="0" applyFont="1" applyBorder="1" applyAlignment="1">
      <alignment horizontal="left" vertical="center" wrapText="1"/>
    </xf>
    <xf numFmtId="0" fontId="106" fillId="0" borderId="105" xfId="0" applyFont="1" applyBorder="1" applyAlignment="1">
      <alignment horizontal="center" vertical="top" wrapText="1"/>
    </xf>
    <xf numFmtId="0" fontId="106" fillId="0" borderId="12" xfId="0" applyFont="1" applyBorder="1" applyAlignment="1">
      <alignment horizontal="center" vertical="top" wrapText="1"/>
    </xf>
    <xf numFmtId="0" fontId="106" fillId="0" borderId="105" xfId="0" applyFont="1" applyBorder="1" applyAlignment="1">
      <alignment horizontal="left" vertical="top" wrapText="1"/>
    </xf>
    <xf numFmtId="0" fontId="106" fillId="0" borderId="12" xfId="0" applyFont="1" applyBorder="1" applyAlignment="1">
      <alignment horizontal="left" vertical="top" wrapText="1"/>
    </xf>
    <xf numFmtId="0" fontId="84" fillId="0" borderId="105" xfId="0" applyFont="1" applyBorder="1" applyAlignment="1">
      <alignment horizontal="center" vertical="top" wrapText="1"/>
    </xf>
    <xf numFmtId="0" fontId="84" fillId="0" borderId="12" xfId="0" applyFont="1" applyBorder="1" applyAlignment="1">
      <alignment horizontal="center" vertical="top" wrapText="1"/>
    </xf>
    <xf numFmtId="0" fontId="107" fillId="0" borderId="105" xfId="0" applyFont="1" applyBorder="1" applyAlignment="1">
      <alignment horizontal="left" vertical="top" wrapText="1"/>
    </xf>
    <xf numFmtId="0" fontId="107" fillId="0" borderId="12" xfId="0" applyFont="1" applyBorder="1" applyAlignment="1">
      <alignment horizontal="left" vertical="top" wrapText="1"/>
    </xf>
    <xf numFmtId="0" fontId="113" fillId="3" borderId="89" xfId="0" applyFont="1" applyFill="1" applyBorder="1" applyAlignment="1">
      <alignment horizontal="left" vertical="top" wrapText="1"/>
    </xf>
    <xf numFmtId="0" fontId="113" fillId="3" borderId="73" xfId="0" applyFont="1" applyFill="1" applyBorder="1" applyAlignment="1">
      <alignment horizontal="left" vertical="top" wrapText="1"/>
    </xf>
    <xf numFmtId="0" fontId="113" fillId="5" borderId="1" xfId="0" applyFont="1" applyFill="1" applyBorder="1" applyAlignment="1">
      <alignment horizontal="left" vertical="top" wrapText="1"/>
    </xf>
    <xf numFmtId="0" fontId="113" fillId="5" borderId="2" xfId="0" applyFont="1" applyFill="1" applyBorder="1" applyAlignment="1">
      <alignment horizontal="left" vertical="top" wrapText="1"/>
    </xf>
    <xf numFmtId="0" fontId="113" fillId="5" borderId="3" xfId="0" applyFont="1" applyFill="1" applyBorder="1" applyAlignment="1">
      <alignment horizontal="left" vertical="top" wrapText="1"/>
    </xf>
    <xf numFmtId="0" fontId="112" fillId="2" borderId="1" xfId="0" applyFont="1" applyFill="1" applyBorder="1" applyAlignment="1">
      <alignment horizontal="center" vertical="center" wrapText="1"/>
    </xf>
    <xf numFmtId="0" fontId="112" fillId="2" borderId="2" xfId="0" applyFont="1" applyFill="1" applyBorder="1" applyAlignment="1">
      <alignment horizontal="center" vertical="center" wrapText="1"/>
    </xf>
    <xf numFmtId="0" fontId="112" fillId="2" borderId="3" xfId="0" applyFont="1" applyFill="1" applyBorder="1" applyAlignment="1">
      <alignment horizontal="center" vertical="center" wrapText="1"/>
    </xf>
    <xf numFmtId="0" fontId="107" fillId="0" borderId="12" xfId="0" applyFont="1" applyBorder="1" applyAlignment="1">
      <alignment horizontal="center" vertical="top" wrapText="1"/>
    </xf>
    <xf numFmtId="0" fontId="110" fillId="5" borderId="76" xfId="0" applyFont="1" applyFill="1" applyBorder="1" applyAlignment="1">
      <alignment horizontal="center" wrapText="1"/>
    </xf>
    <xf numFmtId="0" fontId="110" fillId="5" borderId="0" xfId="0" applyFont="1" applyFill="1" applyAlignment="1">
      <alignment horizontal="center" wrapText="1"/>
    </xf>
    <xf numFmtId="0" fontId="35" fillId="0" borderId="97" xfId="0" applyFont="1" applyBorder="1" applyAlignment="1">
      <alignment horizontal="center"/>
    </xf>
    <xf numFmtId="0" fontId="113" fillId="5" borderId="1" xfId="0" applyFont="1" applyFill="1" applyBorder="1" applyAlignment="1">
      <alignment horizontal="left" vertical="center" wrapText="1"/>
    </xf>
    <xf numFmtId="0" fontId="113" fillId="5" borderId="2" xfId="0" applyFont="1" applyFill="1" applyBorder="1" applyAlignment="1">
      <alignment horizontal="left" vertical="center" wrapText="1"/>
    </xf>
    <xf numFmtId="0" fontId="113" fillId="5" borderId="3" xfId="0" applyFont="1" applyFill="1" applyBorder="1" applyAlignment="1">
      <alignment horizontal="left" vertical="center" wrapText="1"/>
    </xf>
    <xf numFmtId="0" fontId="114" fillId="0" borderId="12" xfId="0" applyFont="1" applyBorder="1" applyAlignment="1">
      <alignment horizontal="center" vertical="top" wrapText="1"/>
    </xf>
    <xf numFmtId="0" fontId="114" fillId="0" borderId="65" xfId="0" applyFont="1" applyBorder="1" applyAlignment="1">
      <alignment horizontal="center" vertical="top" wrapText="1"/>
    </xf>
    <xf numFmtId="0" fontId="114" fillId="0" borderId="12" xfId="0" applyFont="1" applyBorder="1" applyAlignment="1">
      <alignment horizontal="left" vertical="top" wrapText="1"/>
    </xf>
    <xf numFmtId="0" fontId="114" fillId="0" borderId="65" xfId="0" applyFont="1" applyBorder="1" applyAlignment="1">
      <alignment horizontal="left" vertical="top" wrapText="1"/>
    </xf>
    <xf numFmtId="9" fontId="12" fillId="26" borderId="1" xfId="2" applyFont="1" applyFill="1" applyBorder="1" applyAlignment="1">
      <alignment horizontal="left" vertical="center" wrapText="1"/>
    </xf>
    <xf numFmtId="9" fontId="13" fillId="26" borderId="2" xfId="2" applyFont="1" applyFill="1" applyBorder="1" applyAlignment="1">
      <alignment horizontal="left" vertical="center" wrapText="1"/>
    </xf>
    <xf numFmtId="9" fontId="13" fillId="26" borderId="3" xfId="2" applyFont="1" applyFill="1" applyBorder="1" applyAlignment="1">
      <alignment horizontal="left" vertical="center" wrapText="1"/>
    </xf>
    <xf numFmtId="9" fontId="12" fillId="26" borderId="2" xfId="2" applyFont="1" applyFill="1" applyBorder="1" applyAlignment="1">
      <alignment horizontal="left" vertical="center" wrapText="1"/>
    </xf>
    <xf numFmtId="9" fontId="12" fillId="26" borderId="3" xfId="2" applyFont="1" applyFill="1" applyBorder="1" applyAlignment="1">
      <alignment horizontal="left" vertical="center" wrapText="1"/>
    </xf>
    <xf numFmtId="0" fontId="0" fillId="0" borderId="137" xfId="0" applyBorder="1" applyAlignment="1">
      <alignment horizontal="center" vertical="top" wrapText="1"/>
    </xf>
    <xf numFmtId="0" fontId="0" fillId="0" borderId="148" xfId="0" applyBorder="1" applyAlignment="1">
      <alignment horizontal="center" vertical="top" wrapText="1"/>
    </xf>
    <xf numFmtId="0" fontId="0" fillId="5" borderId="148" xfId="0" applyFill="1" applyBorder="1" applyAlignment="1">
      <alignment vertical="top" wrapText="1"/>
    </xf>
    <xf numFmtId="0" fontId="0" fillId="5" borderId="133" xfId="0" applyFill="1" applyBorder="1" applyAlignment="1">
      <alignment vertical="top" wrapText="1"/>
    </xf>
    <xf numFmtId="0" fontId="12" fillId="26" borderId="1" xfId="0" applyFont="1" applyFill="1" applyBorder="1" applyAlignment="1">
      <alignment horizontal="left"/>
    </xf>
    <xf numFmtId="0" fontId="12" fillId="26" borderId="2" xfId="0" applyFont="1" applyFill="1" applyBorder="1" applyAlignment="1">
      <alignment horizontal="left"/>
    </xf>
    <xf numFmtId="0" fontId="12" fillId="26" borderId="3" xfId="0" applyFont="1" applyFill="1" applyBorder="1" applyAlignment="1">
      <alignment horizontal="left"/>
    </xf>
    <xf numFmtId="0" fontId="77" fillId="0" borderId="16" xfId="0" applyFont="1" applyBorder="1" applyAlignment="1">
      <alignment horizontal="left" vertical="center" wrapText="1"/>
    </xf>
    <xf numFmtId="0" fontId="77" fillId="0" borderId="133" xfId="0" applyFont="1" applyBorder="1" applyAlignment="1">
      <alignment horizontal="left" vertical="center" wrapText="1"/>
    </xf>
    <xf numFmtId="0" fontId="34" fillId="0" borderId="0" xfId="0" applyFont="1" applyAlignment="1">
      <alignment horizontal="center"/>
    </xf>
    <xf numFmtId="0" fontId="102" fillId="6" borderId="1" xfId="0" applyFont="1" applyFill="1" applyBorder="1" applyAlignment="1">
      <alignment horizontal="center" wrapText="1"/>
    </xf>
    <xf numFmtId="0" fontId="102" fillId="6" borderId="2" xfId="0" applyFont="1" applyFill="1" applyBorder="1" applyAlignment="1">
      <alignment horizontal="center" wrapText="1"/>
    </xf>
    <xf numFmtId="0" fontId="102" fillId="6" borderId="3" xfId="0" applyFont="1" applyFill="1" applyBorder="1" applyAlignment="1">
      <alignment horizontal="center" wrapText="1"/>
    </xf>
    <xf numFmtId="0" fontId="6" fillId="6" borderId="1" xfId="0" applyFont="1" applyFill="1" applyBorder="1" applyAlignment="1">
      <alignment horizontal="left" vertical="top" wrapText="1"/>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wrapText="1"/>
    </xf>
    <xf numFmtId="0" fontId="101" fillId="26" borderId="1" xfId="0" applyFont="1" applyFill="1" applyBorder="1" applyAlignment="1">
      <alignment horizontal="left" vertical="center" wrapText="1"/>
    </xf>
    <xf numFmtId="0" fontId="101" fillId="26" borderId="2" xfId="0" applyFont="1" applyFill="1" applyBorder="1" applyAlignment="1">
      <alignment horizontal="left" vertical="center" wrapText="1"/>
    </xf>
    <xf numFmtId="0" fontId="101" fillId="26" borderId="3" xfId="0" applyFont="1" applyFill="1" applyBorder="1" applyAlignment="1">
      <alignment horizontal="left" vertical="center" wrapText="1"/>
    </xf>
    <xf numFmtId="0" fontId="84" fillId="0" borderId="8" xfId="0" applyFont="1" applyBorder="1" applyAlignment="1">
      <alignment horizontal="center" vertical="top" wrapText="1"/>
    </xf>
    <xf numFmtId="0" fontId="84" fillId="0" borderId="10" xfId="0" applyFont="1" applyBorder="1" applyAlignment="1">
      <alignment horizontal="center" vertical="top" wrapText="1"/>
    </xf>
    <xf numFmtId="0" fontId="93" fillId="0" borderId="79" xfId="0" applyFont="1" applyBorder="1" applyAlignment="1">
      <alignment horizontal="left" vertical="top" wrapText="1"/>
    </xf>
    <xf numFmtId="0" fontId="93" fillId="0" borderId="18" xfId="0" applyFont="1" applyBorder="1" applyAlignment="1">
      <alignment horizontal="left" vertical="top" wrapText="1"/>
    </xf>
    <xf numFmtId="0" fontId="90" fillId="27" borderId="1" xfId="0" applyFont="1" applyFill="1" applyBorder="1" applyAlignment="1">
      <alignment horizontal="left" vertical="center" wrapText="1"/>
    </xf>
    <xf numFmtId="0" fontId="90" fillId="27" borderId="2" xfId="0" applyFont="1" applyFill="1" applyBorder="1" applyAlignment="1">
      <alignment horizontal="left" vertical="center" wrapText="1"/>
    </xf>
    <xf numFmtId="0" fontId="90" fillId="27" borderId="3" xfId="0" applyFont="1" applyFill="1" applyBorder="1" applyAlignment="1">
      <alignment horizontal="left" vertical="center" wrapText="1"/>
    </xf>
    <xf numFmtId="0" fontId="92" fillId="0" borderId="16" xfId="0" applyFont="1" applyBorder="1" applyAlignment="1">
      <alignment horizontal="center" vertical="top" wrapText="1"/>
    </xf>
    <xf numFmtId="0" fontId="92" fillId="0" borderId="12" xfId="0" applyFont="1" applyBorder="1" applyAlignment="1">
      <alignment horizontal="center" vertical="top" wrapText="1"/>
    </xf>
    <xf numFmtId="0" fontId="93" fillId="0" borderId="6" xfId="0" applyFont="1" applyBorder="1" applyAlignment="1">
      <alignment horizontal="left" vertical="top" wrapText="1"/>
    </xf>
    <xf numFmtId="0" fontId="92" fillId="0" borderId="11" xfId="0" applyFont="1" applyBorder="1" applyAlignment="1">
      <alignment horizontal="center" vertical="top" wrapText="1"/>
    </xf>
    <xf numFmtId="0" fontId="93" fillId="0" borderId="6" xfId="0" applyFont="1" applyBorder="1" applyAlignment="1">
      <alignment horizontal="left" vertical="top"/>
    </xf>
    <xf numFmtId="0" fontId="93" fillId="0" borderId="10" xfId="0" applyFont="1" applyBorder="1" applyAlignment="1">
      <alignment horizontal="left" vertical="top"/>
    </xf>
    <xf numFmtId="0" fontId="80" fillId="5" borderId="76" xfId="0" applyFont="1" applyFill="1" applyBorder="1" applyAlignment="1">
      <alignment horizontal="center" vertical="top" wrapText="1"/>
    </xf>
    <xf numFmtId="0" fontId="80" fillId="5" borderId="0" xfId="0" applyFont="1" applyFill="1" applyAlignment="1">
      <alignment horizontal="center" vertical="top" wrapText="1"/>
    </xf>
    <xf numFmtId="0" fontId="81" fillId="2" borderId="1" xfId="0" applyFont="1" applyFill="1" applyBorder="1" applyAlignment="1">
      <alignment horizontal="center" vertical="top" wrapText="1"/>
    </xf>
    <xf numFmtId="0" fontId="81" fillId="2" borderId="2" xfId="0" applyFont="1" applyFill="1" applyBorder="1" applyAlignment="1">
      <alignment horizontal="center" vertical="top" wrapText="1"/>
    </xf>
    <xf numFmtId="0" fontId="81" fillId="2" borderId="3" xfId="0" applyFont="1" applyFill="1" applyBorder="1" applyAlignment="1">
      <alignment horizontal="center" vertical="top" wrapText="1"/>
    </xf>
    <xf numFmtId="0" fontId="36" fillId="3" borderId="84" xfId="0" applyFont="1" applyFill="1" applyBorder="1" applyAlignment="1">
      <alignment horizontal="left" vertical="center" wrapText="1"/>
    </xf>
    <xf numFmtId="0" fontId="83" fillId="3" borderId="77" xfId="0" applyFont="1" applyFill="1" applyBorder="1" applyAlignment="1">
      <alignment horizontal="left" vertical="center" wrapText="1"/>
    </xf>
    <xf numFmtId="0" fontId="83" fillId="3" borderId="38" xfId="0" applyFont="1" applyFill="1" applyBorder="1" applyAlignment="1">
      <alignment horizontal="left" vertical="center" wrapText="1"/>
    </xf>
    <xf numFmtId="0" fontId="84" fillId="0" borderId="133" xfId="0" applyFont="1" applyBorder="1" applyAlignment="1">
      <alignment horizontal="center" vertical="top" wrapText="1"/>
    </xf>
    <xf numFmtId="0" fontId="84" fillId="0" borderId="11" xfId="0" applyFont="1" applyBorder="1" applyAlignment="1">
      <alignment horizontal="center" vertical="top" wrapText="1"/>
    </xf>
    <xf numFmtId="0" fontId="85" fillId="0" borderId="147" xfId="0" applyFont="1" applyBorder="1" applyAlignment="1">
      <alignment horizontal="left" vertical="top" wrapText="1"/>
    </xf>
    <xf numFmtId="0" fontId="85" fillId="0" borderId="76" xfId="0" applyFont="1" applyBorder="1" applyAlignment="1">
      <alignment horizontal="left" vertical="top" wrapText="1"/>
    </xf>
    <xf numFmtId="0" fontId="85" fillId="0" borderId="97" xfId="0" applyFont="1" applyBorder="1" applyAlignment="1">
      <alignment horizontal="left" vertical="top" wrapText="1"/>
    </xf>
    <xf numFmtId="0" fontId="98" fillId="0" borderId="10" xfId="0" applyFont="1" applyBorder="1" applyAlignment="1">
      <alignment horizontal="center" vertical="top" wrapText="1"/>
    </xf>
    <xf numFmtId="0" fontId="98" fillId="0" borderId="12" xfId="0" applyFont="1" applyBorder="1" applyAlignment="1">
      <alignment horizontal="center" vertical="top" wrapText="1"/>
    </xf>
    <xf numFmtId="0" fontId="98" fillId="0" borderId="10" xfId="0" applyFont="1" applyBorder="1" applyAlignment="1">
      <alignment horizontal="left" vertical="top" wrapText="1"/>
    </xf>
    <xf numFmtId="0" fontId="98" fillId="0" borderId="12" xfId="0" applyFont="1" applyBorder="1" applyAlignment="1">
      <alignment horizontal="left" vertical="top" wrapText="1"/>
    </xf>
    <xf numFmtId="0" fontId="98" fillId="0" borderId="98" xfId="0" applyFont="1" applyBorder="1" applyAlignment="1">
      <alignment horizontal="justify" vertical="top" wrapText="1"/>
    </xf>
    <xf numFmtId="0" fontId="98" fillId="0" borderId="100" xfId="0" applyFont="1" applyBorder="1" applyAlignment="1">
      <alignment horizontal="justify" vertical="top" wrapText="1"/>
    </xf>
    <xf numFmtId="9" fontId="102" fillId="12" borderId="80" xfId="2" applyFont="1" applyFill="1" applyBorder="1" applyAlignment="1">
      <alignment horizontal="center" vertical="top" wrapText="1"/>
    </xf>
    <xf numFmtId="9" fontId="103" fillId="12" borderId="81" xfId="2" applyFont="1" applyFill="1" applyBorder="1" applyAlignment="1">
      <alignment horizontal="center" vertical="top" wrapText="1"/>
    </xf>
    <xf numFmtId="9" fontId="103" fillId="12" borderId="15" xfId="2" applyFont="1" applyFill="1" applyBorder="1" applyAlignment="1">
      <alignment horizontal="center" vertical="top" wrapText="1"/>
    </xf>
    <xf numFmtId="9" fontId="102" fillId="5" borderId="80" xfId="2" applyFont="1" applyFill="1" applyBorder="1" applyAlignment="1">
      <alignment horizontal="center" vertical="top" wrapText="1"/>
    </xf>
    <xf numFmtId="9" fontId="103" fillId="5" borderId="81" xfId="2" applyFont="1" applyFill="1" applyBorder="1" applyAlignment="1">
      <alignment horizontal="center" vertical="top" wrapText="1"/>
    </xf>
    <xf numFmtId="9" fontId="103" fillId="5" borderId="15" xfId="2" applyFont="1" applyFill="1" applyBorder="1" applyAlignment="1">
      <alignment horizontal="center" vertical="top" wrapText="1"/>
    </xf>
    <xf numFmtId="0" fontId="78" fillId="6" borderId="84" xfId="0" applyFont="1" applyFill="1" applyBorder="1" applyAlignment="1">
      <alignment horizontal="left" vertical="center" wrapText="1"/>
    </xf>
    <xf numFmtId="0" fontId="78" fillId="6" borderId="77" xfId="0" applyFont="1" applyFill="1" applyBorder="1" applyAlignment="1">
      <alignment horizontal="left" vertical="center" wrapText="1"/>
    </xf>
    <xf numFmtId="0" fontId="78" fillId="6" borderId="38" xfId="0" applyFont="1" applyFill="1" applyBorder="1" applyAlignment="1">
      <alignment horizontal="left" vertical="center" wrapText="1"/>
    </xf>
    <xf numFmtId="0" fontId="0" fillId="5" borderId="133" xfId="0" applyFill="1" applyBorder="1" applyAlignment="1">
      <alignment horizontal="center" vertical="top" wrapText="1"/>
    </xf>
    <xf numFmtId="0" fontId="0" fillId="5" borderId="12" xfId="0" applyFill="1" applyBorder="1" applyAlignment="1">
      <alignment horizontal="center" vertical="top" wrapText="1"/>
    </xf>
    <xf numFmtId="0" fontId="0" fillId="5" borderId="133" xfId="0" applyFill="1" applyBorder="1" applyAlignment="1">
      <alignment horizontal="left" vertical="top" wrapText="1"/>
    </xf>
    <xf numFmtId="0" fontId="0" fillId="5" borderId="12" xfId="0" applyFill="1" applyBorder="1" applyAlignment="1">
      <alignment horizontal="left" vertical="top" wrapText="1"/>
    </xf>
    <xf numFmtId="0" fontId="124" fillId="0" borderId="0" xfId="0" applyFont="1" applyAlignment="1">
      <alignment horizontal="center"/>
    </xf>
    <xf numFmtId="0" fontId="4" fillId="23" borderId="1" xfId="0" applyFont="1" applyFill="1" applyBorder="1" applyAlignment="1">
      <alignment horizontal="center"/>
    </xf>
    <xf numFmtId="0" fontId="4" fillId="23" borderId="2" xfId="0" applyFont="1" applyFill="1" applyBorder="1" applyAlignment="1">
      <alignment horizontal="center"/>
    </xf>
    <xf numFmtId="0" fontId="4" fillId="23" borderId="3" xfId="0" applyFont="1" applyFill="1" applyBorder="1" applyAlignment="1">
      <alignment horizontal="center"/>
    </xf>
    <xf numFmtId="0" fontId="3" fillId="0" borderId="63" xfId="0" applyFont="1" applyBorder="1" applyAlignment="1">
      <alignment horizontal="left" vertical="top" wrapText="1"/>
    </xf>
    <xf numFmtId="0" fontId="3" fillId="0" borderId="0" xfId="0" applyFont="1" applyAlignment="1">
      <alignment horizontal="left" vertical="top" wrapText="1"/>
    </xf>
    <xf numFmtId="0" fontId="70" fillId="5" borderId="26" xfId="0" applyFont="1" applyFill="1" applyBorder="1" applyAlignment="1">
      <alignment horizontal="center" vertical="top"/>
    </xf>
    <xf numFmtId="0" fontId="70" fillId="5" borderId="24" xfId="0" applyFont="1" applyFill="1" applyBorder="1" applyAlignment="1">
      <alignment horizontal="center" vertical="top"/>
    </xf>
    <xf numFmtId="0" fontId="70" fillId="5" borderId="16" xfId="0" applyFont="1" applyFill="1" applyBorder="1" applyAlignment="1">
      <alignment horizontal="left" vertical="top" wrapText="1"/>
    </xf>
    <xf numFmtId="0" fontId="70" fillId="5" borderId="133" xfId="0" applyFont="1" applyFill="1" applyBorder="1" applyAlignment="1">
      <alignment horizontal="left" vertical="top" wrapText="1"/>
    </xf>
    <xf numFmtId="0" fontId="61" fillId="5" borderId="19" xfId="0" applyFont="1" applyFill="1" applyBorder="1" applyAlignment="1">
      <alignment horizontal="center" vertical="top"/>
    </xf>
    <xf numFmtId="0" fontId="61" fillId="5" borderId="83" xfId="0" applyFont="1" applyFill="1" applyBorder="1" applyAlignment="1">
      <alignment horizontal="center" vertical="top"/>
    </xf>
    <xf numFmtId="0" fontId="61" fillId="5" borderId="20" xfId="0" applyFont="1" applyFill="1" applyBorder="1" applyAlignment="1">
      <alignment horizontal="left" vertical="top" wrapText="1"/>
    </xf>
    <xf numFmtId="0" fontId="61" fillId="5" borderId="29" xfId="0" applyFont="1" applyFill="1" applyBorder="1" applyAlignment="1">
      <alignment horizontal="left" vertical="top" wrapText="1"/>
    </xf>
    <xf numFmtId="0" fontId="124" fillId="0" borderId="33" xfId="0" applyFont="1" applyBorder="1" applyAlignment="1">
      <alignment horizontal="center"/>
    </xf>
    <xf numFmtId="0" fontId="70" fillId="5" borderId="28" xfId="0" applyFont="1" applyFill="1" applyBorder="1" applyAlignment="1">
      <alignment horizontal="center" vertical="top"/>
    </xf>
    <xf numFmtId="0" fontId="70" fillId="5" borderId="11" xfId="0" applyFont="1" applyFill="1" applyBorder="1" applyAlignment="1">
      <alignment horizontal="left" vertical="top" wrapText="1"/>
    </xf>
    <xf numFmtId="0" fontId="128" fillId="32" borderId="1" xfId="0" applyFont="1" applyFill="1" applyBorder="1" applyAlignment="1">
      <alignment vertical="center" wrapText="1"/>
    </xf>
    <xf numFmtId="0" fontId="128" fillId="32" borderId="2" xfId="0" applyFont="1" applyFill="1" applyBorder="1" applyAlignment="1">
      <alignment vertical="center" wrapText="1"/>
    </xf>
    <xf numFmtId="0" fontId="128" fillId="32" borderId="3" xfId="0" applyFont="1" applyFill="1" applyBorder="1" applyAlignment="1">
      <alignment vertical="center" wrapText="1"/>
    </xf>
    <xf numFmtId="0" fontId="55" fillId="32" borderId="1" xfId="0" applyFont="1" applyFill="1" applyBorder="1" applyAlignment="1">
      <alignment horizontal="left" vertical="center" wrapText="1"/>
    </xf>
    <xf numFmtId="0" fontId="55" fillId="32" borderId="2" xfId="0" applyFont="1" applyFill="1" applyBorder="1" applyAlignment="1">
      <alignment horizontal="left" vertical="center" wrapText="1"/>
    </xf>
    <xf numFmtId="0" fontId="55" fillId="32" borderId="3" xfId="0" applyFont="1" applyFill="1" applyBorder="1" applyAlignment="1">
      <alignment horizontal="left" vertical="center" wrapText="1"/>
    </xf>
    <xf numFmtId="0" fontId="94" fillId="0" borderId="91" xfId="0" applyFont="1" applyBorder="1" applyAlignment="1">
      <alignment horizontal="center" vertical="top" wrapText="1"/>
    </xf>
    <xf numFmtId="0" fontId="94" fillId="0" borderId="91" xfId="0" applyFont="1" applyBorder="1" applyAlignment="1">
      <alignment horizontal="left" vertical="top" wrapText="1"/>
    </xf>
    <xf numFmtId="0" fontId="27" fillId="32" borderId="1" xfId="0" applyFont="1" applyFill="1" applyBorder="1" applyAlignment="1">
      <alignment horizontal="left" vertical="center" wrapText="1"/>
    </xf>
    <xf numFmtId="0" fontId="27" fillId="32" borderId="2" xfId="0" applyFont="1" applyFill="1" applyBorder="1" applyAlignment="1">
      <alignment horizontal="left" vertical="center" wrapText="1"/>
    </xf>
    <xf numFmtId="0" fontId="27" fillId="32" borderId="3" xfId="0" applyFont="1" applyFill="1" applyBorder="1" applyAlignment="1">
      <alignment horizontal="left" vertical="center" wrapText="1"/>
    </xf>
    <xf numFmtId="0" fontId="94" fillId="0" borderId="65" xfId="0" applyFont="1" applyBorder="1" applyAlignment="1">
      <alignment horizontal="center" vertical="top" wrapText="1"/>
    </xf>
    <xf numFmtId="0" fontId="94" fillId="0" borderId="105" xfId="0" applyFont="1" applyBorder="1" applyAlignment="1">
      <alignment horizontal="center" vertical="top" wrapText="1"/>
    </xf>
    <xf numFmtId="0" fontId="94" fillId="0" borderId="65" xfId="0" applyFont="1" applyBorder="1" applyAlignment="1">
      <alignment horizontal="left" vertical="top" wrapText="1"/>
    </xf>
    <xf numFmtId="0" fontId="39" fillId="0" borderId="105" xfId="0" applyFont="1" applyBorder="1" applyAlignment="1">
      <alignment vertical="top"/>
    </xf>
    <xf numFmtId="0" fontId="55" fillId="34" borderId="1" xfId="0" applyFont="1" applyFill="1" applyBorder="1" applyAlignment="1">
      <alignment horizontal="left" vertical="center" wrapText="1"/>
    </xf>
    <xf numFmtId="0" fontId="55" fillId="34" borderId="2" xfId="0" applyFont="1" applyFill="1" applyBorder="1" applyAlignment="1">
      <alignment horizontal="left" vertical="center" wrapText="1"/>
    </xf>
    <xf numFmtId="0" fontId="55" fillId="34" borderId="33" xfId="0" applyFont="1" applyFill="1" applyBorder="1" applyAlignment="1">
      <alignment horizontal="left" vertical="center" wrapText="1"/>
    </xf>
    <xf numFmtId="0" fontId="55" fillId="34" borderId="3" xfId="0" applyFont="1" applyFill="1" applyBorder="1" applyAlignment="1">
      <alignment horizontal="left" vertical="center" wrapText="1"/>
    </xf>
    <xf numFmtId="0" fontId="53" fillId="0" borderId="111" xfId="0" applyFont="1" applyBorder="1" applyAlignment="1">
      <alignment horizontal="center" vertical="top" wrapText="1"/>
    </xf>
    <xf numFmtId="0" fontId="53" fillId="0" borderId="113" xfId="0" applyFont="1" applyBorder="1" applyAlignment="1">
      <alignment horizontal="center" vertical="top" wrapText="1"/>
    </xf>
    <xf numFmtId="0" fontId="53" fillId="0" borderId="112" xfId="0" applyFont="1" applyBorder="1" applyAlignment="1">
      <alignment horizontal="left" vertical="top" wrapText="1"/>
    </xf>
    <xf numFmtId="0" fontId="53" fillId="0" borderId="114" xfId="0" applyFont="1" applyBorder="1" applyAlignment="1">
      <alignment horizontal="left" vertical="top" wrapText="1"/>
    </xf>
    <xf numFmtId="0" fontId="26" fillId="33" borderId="106" xfId="0" applyFont="1" applyFill="1" applyBorder="1" applyAlignment="1">
      <alignment horizontal="center" vertical="top" wrapText="1"/>
    </xf>
    <xf numFmtId="0" fontId="26" fillId="33" borderId="105" xfId="0" applyFont="1" applyFill="1" applyBorder="1" applyAlignment="1">
      <alignment horizontal="center" vertical="top" wrapText="1"/>
    </xf>
    <xf numFmtId="0" fontId="26" fillId="33" borderId="106" xfId="0" applyFont="1" applyFill="1" applyBorder="1" applyAlignment="1">
      <alignment horizontal="left" vertical="top" wrapText="1"/>
    </xf>
    <xf numFmtId="0" fontId="26" fillId="33" borderId="105" xfId="0" applyFont="1" applyFill="1" applyBorder="1" applyAlignment="1">
      <alignment horizontal="left" vertical="top" wrapText="1"/>
    </xf>
    <xf numFmtId="0" fontId="55" fillId="32" borderId="77" xfId="0" applyFont="1" applyFill="1" applyBorder="1" applyAlignment="1">
      <alignment horizontal="left" vertical="center" wrapText="1"/>
    </xf>
    <xf numFmtId="0" fontId="53" fillId="0" borderId="110" xfId="0" applyFont="1" applyBorder="1" applyAlignment="1">
      <alignment horizontal="center" vertical="top" wrapText="1"/>
    </xf>
    <xf numFmtId="0" fontId="51" fillId="0" borderId="110" xfId="0" applyFont="1" applyBorder="1" applyAlignment="1">
      <alignment horizontal="center" vertical="top"/>
    </xf>
    <xf numFmtId="0" fontId="53" fillId="0" borderId="102" xfId="0" applyFont="1" applyBorder="1" applyAlignment="1">
      <alignment horizontal="left" vertical="top" wrapText="1"/>
    </xf>
    <xf numFmtId="0" fontId="51" fillId="0" borderId="102" xfId="0" applyFont="1" applyBorder="1" applyAlignment="1">
      <alignment horizontal="left" vertical="top"/>
    </xf>
    <xf numFmtId="0" fontId="128" fillId="0" borderId="0" xfId="0" applyFont="1" applyAlignment="1">
      <alignment horizontal="center"/>
    </xf>
    <xf numFmtId="0" fontId="129" fillId="31" borderId="1" xfId="0" applyFont="1" applyFill="1" applyBorder="1" applyAlignment="1">
      <alignment horizontal="center" wrapText="1"/>
    </xf>
    <xf numFmtId="0" fontId="129" fillId="31" borderId="2" xfId="0" applyFont="1" applyFill="1" applyBorder="1" applyAlignment="1">
      <alignment horizontal="center" wrapText="1"/>
    </xf>
    <xf numFmtId="0" fontId="129" fillId="31" borderId="3" xfId="0" applyFont="1" applyFill="1" applyBorder="1" applyAlignment="1">
      <alignment horizontal="center" wrapText="1"/>
    </xf>
    <xf numFmtId="0" fontId="60" fillId="32" borderId="1" xfId="0" applyFont="1" applyFill="1" applyBorder="1" applyAlignment="1">
      <alignment horizontal="left" vertical="center" wrapText="1"/>
    </xf>
    <xf numFmtId="0" fontId="60" fillId="32" borderId="2" xfId="0" applyFont="1" applyFill="1" applyBorder="1" applyAlignment="1">
      <alignment horizontal="left" vertical="center" wrapText="1"/>
    </xf>
    <xf numFmtId="0" fontId="60" fillId="32" borderId="3" xfId="0" applyFont="1" applyFill="1" applyBorder="1" applyAlignment="1">
      <alignment horizontal="left" vertical="center" wrapText="1"/>
    </xf>
    <xf numFmtId="0" fontId="84" fillId="0" borderId="101" xfId="0" applyFont="1" applyBorder="1" applyAlignment="1">
      <alignment horizontal="center" vertical="top" wrapText="1"/>
    </xf>
    <xf numFmtId="0" fontId="84" fillId="0" borderId="102" xfId="0" applyFont="1" applyBorder="1" applyAlignment="1">
      <alignment horizontal="center" vertical="top" wrapText="1"/>
    </xf>
    <xf numFmtId="0" fontId="84" fillId="0" borderId="101" xfId="0" applyFont="1" applyBorder="1" applyAlignment="1">
      <alignment horizontal="left" vertical="top" wrapText="1"/>
    </xf>
    <xf numFmtId="0" fontId="84" fillId="0" borderId="102" xfId="0" applyFont="1" applyBorder="1" applyAlignment="1">
      <alignment horizontal="left" vertical="top" wrapText="1"/>
    </xf>
    <xf numFmtId="0" fontId="84" fillId="33" borderId="105" xfId="0" applyFont="1" applyFill="1" applyBorder="1" applyAlignment="1">
      <alignment horizontal="center" vertical="top" wrapText="1"/>
    </xf>
    <xf numFmtId="0" fontId="84" fillId="33" borderId="12" xfId="0" applyFont="1" applyFill="1" applyBorder="1" applyAlignment="1">
      <alignment horizontal="center" vertical="top" wrapText="1"/>
    </xf>
    <xf numFmtId="0" fontId="84" fillId="33" borderId="105" xfId="0" applyFont="1" applyFill="1" applyBorder="1" applyAlignment="1">
      <alignment horizontal="left" vertical="top" wrapText="1"/>
    </xf>
    <xf numFmtId="0" fontId="84" fillId="33" borderId="12" xfId="0" applyFont="1" applyFill="1" applyBorder="1" applyAlignment="1">
      <alignment horizontal="left" vertical="top" wrapText="1"/>
    </xf>
    <xf numFmtId="0" fontId="55" fillId="32" borderId="38" xfId="0" applyFont="1" applyFill="1" applyBorder="1" applyAlignment="1">
      <alignment horizontal="left" vertical="center" wrapText="1"/>
    </xf>
    <xf numFmtId="0" fontId="61" fillId="5" borderId="10" xfId="0" applyFont="1" applyFill="1" applyBorder="1" applyAlignment="1">
      <alignment horizontal="center" vertical="top" wrapText="1"/>
    </xf>
    <xf numFmtId="0" fontId="61" fillId="5" borderId="12" xfId="0" applyFont="1" applyFill="1" applyBorder="1" applyAlignment="1">
      <alignment horizontal="center" vertical="top" wrapText="1"/>
    </xf>
    <xf numFmtId="0" fontId="61" fillId="5" borderId="8" xfId="0" applyFont="1" applyFill="1" applyBorder="1" applyAlignment="1">
      <alignment horizontal="center" vertical="top" wrapText="1"/>
    </xf>
    <xf numFmtId="0" fontId="63" fillId="5" borderId="6" xfId="0" applyFont="1" applyFill="1" applyBorder="1" applyAlignment="1">
      <alignment horizontal="left" vertical="top" wrapText="1"/>
    </xf>
    <xf numFmtId="0" fontId="63" fillId="5" borderId="10" xfId="0" applyFont="1" applyFill="1" applyBorder="1" applyAlignment="1">
      <alignment horizontal="left" vertical="top" wrapText="1"/>
    </xf>
    <xf numFmtId="0" fontId="63" fillId="5" borderId="12" xfId="0" applyFont="1" applyFill="1" applyBorder="1" applyAlignment="1">
      <alignment horizontal="left" vertical="top" wrapText="1"/>
    </xf>
    <xf numFmtId="0" fontId="63" fillId="5" borderId="8" xfId="0" applyFont="1" applyFill="1" applyBorder="1" applyAlignment="1">
      <alignment horizontal="left" vertical="top" wrapText="1"/>
    </xf>
    <xf numFmtId="0" fontId="4" fillId="23" borderId="1" xfId="0" applyFont="1" applyFill="1" applyBorder="1" applyAlignment="1">
      <alignment horizontal="left"/>
    </xf>
    <xf numFmtId="0" fontId="4" fillId="23" borderId="2" xfId="0" applyFont="1" applyFill="1" applyBorder="1" applyAlignment="1">
      <alignment horizontal="left"/>
    </xf>
    <xf numFmtId="0" fontId="4" fillId="23" borderId="3" xfId="0" applyFont="1" applyFill="1" applyBorder="1" applyAlignment="1">
      <alignment horizontal="left"/>
    </xf>
    <xf numFmtId="0" fontId="62" fillId="6" borderId="1" xfId="0" applyFont="1" applyFill="1" applyBorder="1" applyAlignment="1">
      <alignment horizontal="left" vertical="center" wrapText="1"/>
    </xf>
    <xf numFmtId="0" fontId="62" fillId="6" borderId="77" xfId="0" applyFont="1" applyFill="1" applyBorder="1" applyAlignment="1">
      <alignment horizontal="left" vertical="center" wrapText="1"/>
    </xf>
    <xf numFmtId="0" fontId="62" fillId="6" borderId="38" xfId="0" applyFont="1" applyFill="1" applyBorder="1" applyAlignment="1">
      <alignment horizontal="left" vertical="center" wrapText="1"/>
    </xf>
    <xf numFmtId="0" fontId="61" fillId="5" borderId="6" xfId="0" applyFont="1" applyFill="1" applyBorder="1" applyAlignment="1">
      <alignment horizontal="center" vertical="top" wrapText="1"/>
    </xf>
    <xf numFmtId="0" fontId="63" fillId="5" borderId="133" xfId="0" applyFont="1" applyFill="1" applyBorder="1" applyAlignment="1">
      <alignment horizontal="left" vertical="top" wrapText="1"/>
    </xf>
    <xf numFmtId="0" fontId="62" fillId="6" borderId="2" xfId="0" applyFont="1" applyFill="1" applyBorder="1" applyAlignment="1">
      <alignment horizontal="left" vertical="center" wrapText="1"/>
    </xf>
    <xf numFmtId="0" fontId="62" fillId="6" borderId="3" xfId="0" applyFont="1" applyFill="1" applyBorder="1" applyAlignment="1">
      <alignment horizontal="left" vertical="center" wrapText="1"/>
    </xf>
    <xf numFmtId="0" fontId="61" fillId="5" borderId="22" xfId="0" applyFont="1" applyFill="1" applyBorder="1" applyAlignment="1">
      <alignment horizontal="center" vertical="top" wrapText="1"/>
    </xf>
    <xf numFmtId="0" fontId="61" fillId="5" borderId="27" xfId="0" applyFont="1" applyFill="1" applyBorder="1" applyAlignment="1">
      <alignment horizontal="center" vertical="top" wrapText="1"/>
    </xf>
    <xf numFmtId="0" fontId="68" fillId="5" borderId="10" xfId="0" applyFont="1" applyFill="1" applyBorder="1" applyAlignment="1">
      <alignment horizontal="left" vertical="top" wrapText="1"/>
    </xf>
    <xf numFmtId="0" fontId="68" fillId="5" borderId="8" xfId="0" applyFont="1" applyFill="1" applyBorder="1" applyAlignment="1">
      <alignment horizontal="left" vertical="top" wrapText="1"/>
    </xf>
    <xf numFmtId="0" fontId="61" fillId="5" borderId="16" xfId="0" applyFont="1" applyFill="1" applyBorder="1" applyAlignment="1">
      <alignment horizontal="center" vertical="top" wrapText="1"/>
    </xf>
    <xf numFmtId="0" fontId="66" fillId="5" borderId="16" xfId="0" applyFont="1" applyFill="1" applyBorder="1" applyAlignment="1">
      <alignment horizontal="left" vertical="center" wrapText="1"/>
    </xf>
    <xf numFmtId="0" fontId="66" fillId="5" borderId="12" xfId="0" applyFont="1" applyFill="1" applyBorder="1" applyAlignment="1">
      <alignment horizontal="left" vertical="center" wrapText="1"/>
    </xf>
    <xf numFmtId="0" fontId="61" fillId="5" borderId="24" xfId="0" applyFont="1" applyFill="1" applyBorder="1" applyAlignment="1">
      <alignment horizontal="center" vertical="top" wrapText="1"/>
    </xf>
    <xf numFmtId="0" fontId="70" fillId="5" borderId="8" xfId="0" applyFont="1" applyFill="1" applyBorder="1" applyAlignment="1">
      <alignment horizontal="center" vertical="top" wrapText="1"/>
    </xf>
    <xf numFmtId="0" fontId="70" fillId="5" borderId="6" xfId="0" applyFont="1" applyFill="1" applyBorder="1" applyAlignment="1">
      <alignment horizontal="center" vertical="top" wrapText="1"/>
    </xf>
    <xf numFmtId="0" fontId="70" fillId="5" borderId="8" xfId="0" applyFont="1" applyFill="1" applyBorder="1" applyAlignment="1">
      <alignment horizontal="left" vertical="top" wrapText="1"/>
    </xf>
    <xf numFmtId="0" fontId="70" fillId="5" borderId="6" xfId="0" applyFont="1" applyFill="1" applyBorder="1" applyAlignment="1">
      <alignment horizontal="left" vertical="top" wrapText="1"/>
    </xf>
    <xf numFmtId="1" fontId="61" fillId="5" borderId="10" xfId="0" applyNumberFormat="1" applyFont="1" applyFill="1" applyBorder="1" applyAlignment="1">
      <alignment horizontal="center" vertical="top" wrapText="1"/>
    </xf>
    <xf numFmtId="1" fontId="61" fillId="5" borderId="12" xfId="0" applyNumberFormat="1" applyFont="1" applyFill="1" applyBorder="1" applyAlignment="1">
      <alignment horizontal="center" vertical="top" wrapText="1"/>
    </xf>
    <xf numFmtId="1" fontId="61" fillId="5" borderId="8" xfId="0" applyNumberFormat="1" applyFont="1" applyFill="1" applyBorder="1" applyAlignment="1">
      <alignment horizontal="center" vertical="top" wrapText="1"/>
    </xf>
    <xf numFmtId="0" fontId="63" fillId="5" borderId="16" xfId="0" applyFont="1" applyFill="1" applyBorder="1" applyAlignment="1">
      <alignment horizontal="left" vertical="top" wrapText="1"/>
    </xf>
    <xf numFmtId="0" fontId="59" fillId="5" borderId="6" xfId="0" applyFont="1" applyFill="1" applyBorder="1" applyAlignment="1">
      <alignment horizontal="center" vertical="top" wrapText="1"/>
    </xf>
    <xf numFmtId="0" fontId="61" fillId="5" borderId="16" xfId="0" applyFont="1" applyFill="1" applyBorder="1" applyAlignment="1">
      <alignment horizontal="left" vertical="top" wrapText="1"/>
    </xf>
    <xf numFmtId="0" fontId="61" fillId="5" borderId="12" xfId="0" applyFont="1" applyFill="1" applyBorder="1" applyAlignment="1">
      <alignment horizontal="left" vertical="top" wrapText="1"/>
    </xf>
    <xf numFmtId="0" fontId="0" fillId="5" borderId="6" xfId="0" applyFill="1" applyBorder="1" applyAlignment="1">
      <alignment horizontal="center" vertical="top"/>
    </xf>
    <xf numFmtId="0" fontId="70" fillId="6" borderId="1" xfId="0" applyFont="1" applyFill="1" applyBorder="1" applyAlignment="1">
      <alignment horizontal="left" vertical="center"/>
    </xf>
    <xf numFmtId="0" fontId="70" fillId="6" borderId="2" xfId="0" applyFont="1" applyFill="1" applyBorder="1" applyAlignment="1">
      <alignment horizontal="left" vertical="center"/>
    </xf>
    <xf numFmtId="0" fontId="70" fillId="6" borderId="77" xfId="0" applyFont="1" applyFill="1" applyBorder="1" applyAlignment="1">
      <alignment horizontal="left" vertical="center"/>
    </xf>
    <xf numFmtId="0" fontId="70" fillId="6" borderId="3" xfId="0" applyFont="1" applyFill="1" applyBorder="1" applyAlignment="1">
      <alignment horizontal="left" vertical="center"/>
    </xf>
    <xf numFmtId="0" fontId="63" fillId="5" borderId="65" xfId="0" applyFont="1" applyFill="1" applyBorder="1" applyAlignment="1">
      <alignment horizontal="left" vertical="top" wrapText="1"/>
    </xf>
    <xf numFmtId="0" fontId="18" fillId="0" borderId="1" xfId="0" applyFont="1" applyBorder="1" applyAlignment="1">
      <alignment horizontal="left" vertical="top" wrapText="1"/>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30" fillId="0" borderId="17" xfId="0" applyFont="1" applyBorder="1" applyAlignment="1">
      <alignment horizontal="center" vertical="top" wrapText="1"/>
    </xf>
    <xf numFmtId="0" fontId="30" fillId="0" borderId="6" xfId="0" applyFont="1" applyBorder="1" applyAlignment="1">
      <alignment horizontal="left" vertical="top" wrapText="1"/>
    </xf>
    <xf numFmtId="0" fontId="18" fillId="0" borderId="17" xfId="0" applyFont="1" applyBorder="1" applyAlignment="1">
      <alignment horizontal="center" vertical="top" wrapText="1"/>
    </xf>
    <xf numFmtId="0" fontId="30" fillId="0" borderId="22" xfId="0" applyFont="1" applyBorder="1" applyAlignment="1">
      <alignment horizontal="center" vertical="top" wrapText="1"/>
    </xf>
    <xf numFmtId="0" fontId="30" fillId="0" borderId="10" xfId="0" applyFont="1" applyBorder="1" applyAlignment="1">
      <alignment horizontal="left" vertical="top" wrapText="1"/>
    </xf>
    <xf numFmtId="0" fontId="30" fillId="0" borderId="12" xfId="0" applyFont="1" applyBorder="1" applyAlignment="1">
      <alignment horizontal="left" vertical="top" wrapText="1"/>
    </xf>
    <xf numFmtId="0" fontId="18" fillId="4" borderId="1" xfId="0" applyFont="1" applyFill="1" applyBorder="1" applyAlignment="1">
      <alignment horizontal="left" vertical="top" wrapText="1"/>
    </xf>
    <xf numFmtId="0" fontId="18" fillId="4" borderId="2" xfId="0" applyFont="1" applyFill="1" applyBorder="1" applyAlignment="1">
      <alignment horizontal="left" vertical="top" wrapText="1"/>
    </xf>
    <xf numFmtId="0" fontId="18" fillId="4" borderId="3" xfId="0" applyFont="1" applyFill="1" applyBorder="1" applyAlignment="1">
      <alignment horizontal="left" vertical="top" wrapText="1"/>
    </xf>
    <xf numFmtId="0" fontId="30" fillId="5" borderId="17" xfId="0" applyFont="1" applyFill="1" applyBorder="1" applyAlignment="1">
      <alignment horizontal="center" vertical="top" wrapText="1"/>
    </xf>
    <xf numFmtId="0" fontId="30" fillId="5" borderId="6" xfId="0" applyFont="1" applyFill="1" applyBorder="1" applyAlignment="1">
      <alignment horizontal="left" vertical="center" wrapText="1"/>
    </xf>
    <xf numFmtId="0" fontId="60" fillId="0" borderId="4" xfId="0" applyFont="1" applyBorder="1" applyAlignment="1">
      <alignment horizontal="left" vertical="top" wrapText="1"/>
    </xf>
    <xf numFmtId="0" fontId="60" fillId="0" borderId="13" xfId="0" applyFont="1" applyBorder="1" applyAlignment="1">
      <alignment horizontal="left" vertical="top" wrapText="1"/>
    </xf>
    <xf numFmtId="0" fontId="60" fillId="0" borderId="37" xfId="0" applyFont="1" applyBorder="1" applyAlignment="1">
      <alignment horizontal="left" vertical="top" wrapText="1"/>
    </xf>
    <xf numFmtId="0" fontId="60" fillId="0" borderId="14" xfId="0" applyFont="1" applyBorder="1" applyAlignment="1">
      <alignment horizontal="left" vertical="top" wrapText="1"/>
    </xf>
    <xf numFmtId="0" fontId="21" fillId="12" borderId="1" xfId="0" applyFont="1" applyFill="1" applyBorder="1" applyAlignment="1">
      <alignment horizontal="right" vertical="center" wrapText="1"/>
    </xf>
    <xf numFmtId="0" fontId="21" fillId="12" borderId="2" xfId="0" applyFont="1" applyFill="1" applyBorder="1" applyAlignment="1">
      <alignment horizontal="right" vertical="center" wrapText="1"/>
    </xf>
    <xf numFmtId="0" fontId="25" fillId="5" borderId="133" xfId="0" applyFont="1" applyFill="1" applyBorder="1" applyAlignment="1">
      <alignment horizontal="center" vertical="top" wrapText="1"/>
    </xf>
    <xf numFmtId="0" fontId="25" fillId="5" borderId="65" xfId="0" applyFont="1" applyFill="1" applyBorder="1" applyAlignment="1">
      <alignment horizontal="center" vertical="top" wrapText="1"/>
    </xf>
    <xf numFmtId="0" fontId="25" fillId="5" borderId="65" xfId="0" applyFont="1" applyFill="1" applyBorder="1" applyAlignment="1">
      <alignment horizontal="left" vertical="top" wrapText="1"/>
    </xf>
    <xf numFmtId="0" fontId="25" fillId="5" borderId="137" xfId="0" applyFont="1" applyFill="1" applyBorder="1" applyAlignment="1">
      <alignment horizontal="left" vertical="top" wrapText="1"/>
    </xf>
    <xf numFmtId="0" fontId="58" fillId="5" borderId="138" xfId="0" applyFont="1" applyFill="1" applyBorder="1" applyAlignment="1">
      <alignment horizontal="right" vertical="center" wrapText="1"/>
    </xf>
    <xf numFmtId="0" fontId="58" fillId="5" borderId="139" xfId="0" applyFont="1" applyFill="1" applyBorder="1" applyAlignment="1">
      <alignment horizontal="right" vertical="center" wrapText="1"/>
    </xf>
    <xf numFmtId="0" fontId="58" fillId="24" borderId="1" xfId="0" applyFont="1" applyFill="1" applyBorder="1" applyAlignment="1">
      <alignment horizontal="left" vertical="center" wrapText="1"/>
    </xf>
    <xf numFmtId="0" fontId="58" fillId="24" borderId="2" xfId="0" applyFont="1" applyFill="1" applyBorder="1" applyAlignment="1">
      <alignment horizontal="left" vertical="center" wrapText="1"/>
    </xf>
    <xf numFmtId="0" fontId="25" fillId="5" borderId="148" xfId="0" applyFont="1" applyFill="1" applyBorder="1" applyAlignment="1">
      <alignment horizontal="center" vertical="top" wrapText="1"/>
    </xf>
    <xf numFmtId="0" fontId="25" fillId="5" borderId="148" xfId="0" applyFont="1" applyFill="1" applyBorder="1" applyAlignment="1">
      <alignment horizontal="left" vertical="top" wrapText="1"/>
    </xf>
    <xf numFmtId="0" fontId="25" fillId="5" borderId="133" xfId="0" applyFont="1" applyFill="1" applyBorder="1" applyAlignment="1">
      <alignment horizontal="left" vertical="top" wrapText="1"/>
    </xf>
    <xf numFmtId="0" fontId="58" fillId="5" borderId="1" xfId="0" applyFont="1" applyFill="1" applyBorder="1" applyAlignment="1">
      <alignment horizontal="right" vertical="center" wrapText="1"/>
    </xf>
    <xf numFmtId="0" fontId="58" fillId="5" borderId="2" xfId="0" applyFont="1" applyFill="1" applyBorder="1" applyAlignment="1">
      <alignment horizontal="right" vertical="center" wrapText="1"/>
    </xf>
    <xf numFmtId="0" fontId="58" fillId="5" borderId="36" xfId="0" applyFont="1" applyFill="1" applyBorder="1" applyAlignment="1">
      <alignment horizontal="right" vertical="center" wrapText="1"/>
    </xf>
    <xf numFmtId="0" fontId="58" fillId="4" borderId="78" xfId="0" applyFont="1" applyFill="1" applyBorder="1" applyAlignment="1">
      <alignment horizontal="left" vertical="center" wrapText="1"/>
    </xf>
    <xf numFmtId="0" fontId="58" fillId="4" borderId="77" xfId="0" applyFont="1" applyFill="1" applyBorder="1" applyAlignment="1">
      <alignment horizontal="left" vertical="center" wrapText="1"/>
    </xf>
    <xf numFmtId="0" fontId="58" fillId="4" borderId="79" xfId="0" applyFont="1" applyFill="1" applyBorder="1" applyAlignment="1">
      <alignment horizontal="left" vertical="center" wrapText="1"/>
    </xf>
    <xf numFmtId="0" fontId="58" fillId="4" borderId="1" xfId="0" applyFont="1" applyFill="1" applyBorder="1" applyAlignment="1">
      <alignment horizontal="left" vertical="center" wrapText="1"/>
    </xf>
    <xf numFmtId="0" fontId="58" fillId="4" borderId="2" xfId="0" applyFont="1" applyFill="1" applyBorder="1" applyAlignment="1">
      <alignment horizontal="left" vertical="center" wrapText="1"/>
    </xf>
    <xf numFmtId="0" fontId="58" fillId="4" borderId="3" xfId="0" applyFont="1" applyFill="1" applyBorder="1" applyAlignment="1">
      <alignment horizontal="left" vertical="center" wrapText="1"/>
    </xf>
    <xf numFmtId="0" fontId="25" fillId="5" borderId="137" xfId="0" applyFont="1" applyFill="1" applyBorder="1" applyAlignment="1">
      <alignment horizontal="center" vertical="top" wrapText="1"/>
    </xf>
    <xf numFmtId="0" fontId="25" fillId="5" borderId="148" xfId="0" applyFont="1" applyFill="1" applyBorder="1" applyAlignment="1">
      <alignment horizontal="center" vertical="center" wrapText="1"/>
    </xf>
    <xf numFmtId="0" fontId="25" fillId="5" borderId="133" xfId="0" applyFont="1" applyFill="1" applyBorder="1" applyAlignment="1">
      <alignment horizontal="center" vertical="center" wrapText="1"/>
    </xf>
    <xf numFmtId="0" fontId="25" fillId="5" borderId="65" xfId="0" applyFont="1" applyFill="1" applyBorder="1" applyAlignment="1">
      <alignment horizontal="center" vertical="center" wrapText="1"/>
    </xf>
    <xf numFmtId="0" fontId="58" fillId="6" borderId="4" xfId="0" applyFont="1" applyFill="1" applyBorder="1" applyAlignment="1">
      <alignment horizontal="left" vertical="center" wrapText="1"/>
    </xf>
    <xf numFmtId="0" fontId="58" fillId="6" borderId="13" xfId="0" applyFont="1" applyFill="1" applyBorder="1" applyAlignment="1">
      <alignment horizontal="left" vertical="center" wrapText="1"/>
    </xf>
    <xf numFmtId="0" fontId="58" fillId="6" borderId="37" xfId="0" applyFont="1" applyFill="1" applyBorder="1" applyAlignment="1">
      <alignment horizontal="left" vertical="center" wrapText="1"/>
    </xf>
    <xf numFmtId="0" fontId="58" fillId="6" borderId="14" xfId="0" applyFont="1" applyFill="1" applyBorder="1" applyAlignment="1">
      <alignment horizontal="left" vertical="center" wrapText="1"/>
    </xf>
    <xf numFmtId="0" fontId="25" fillId="5" borderId="137" xfId="0" applyFont="1" applyFill="1" applyBorder="1" applyAlignment="1">
      <alignment horizontal="center" vertical="center" wrapText="1"/>
    </xf>
    <xf numFmtId="0" fontId="56" fillId="2" borderId="1" xfId="0" applyFont="1" applyFill="1" applyBorder="1" applyAlignment="1">
      <alignment horizontal="center" vertical="center" wrapText="1"/>
    </xf>
    <xf numFmtId="0" fontId="56" fillId="2" borderId="2" xfId="0" applyFont="1" applyFill="1" applyBorder="1" applyAlignment="1">
      <alignment horizontal="center" vertical="center" wrapText="1"/>
    </xf>
    <xf numFmtId="0" fontId="56" fillId="2" borderId="3" xfId="0" applyFont="1" applyFill="1" applyBorder="1" applyAlignment="1">
      <alignment horizontal="center" vertical="center" wrapText="1"/>
    </xf>
    <xf numFmtId="0" fontId="21" fillId="5" borderId="4" xfId="0" applyFont="1" applyFill="1" applyBorder="1" applyAlignment="1">
      <alignment horizontal="left" vertical="center" wrapText="1"/>
    </xf>
    <xf numFmtId="0" fontId="21" fillId="5" borderId="13" xfId="0" applyFont="1" applyFill="1" applyBorder="1" applyAlignment="1">
      <alignment horizontal="left" vertical="center" wrapText="1"/>
    </xf>
    <xf numFmtId="0" fontId="21" fillId="5" borderId="37" xfId="0" applyFont="1" applyFill="1" applyBorder="1" applyAlignment="1">
      <alignment horizontal="left" vertical="center" wrapText="1"/>
    </xf>
    <xf numFmtId="0" fontId="21" fillId="5" borderId="14" xfId="0" applyFont="1" applyFill="1" applyBorder="1" applyAlignment="1">
      <alignment horizontal="left" vertical="center" wrapText="1"/>
    </xf>
    <xf numFmtId="0" fontId="15" fillId="0" borderId="0" xfId="0" applyFont="1" applyAlignment="1">
      <alignment horizontal="center"/>
    </xf>
    <xf numFmtId="0" fontId="4" fillId="0" borderId="4" xfId="0" applyFont="1" applyBorder="1" applyAlignment="1">
      <alignment horizontal="left" vertical="center" wrapText="1"/>
    </xf>
    <xf numFmtId="0" fontId="4" fillId="0" borderId="13" xfId="0" applyFont="1" applyBorder="1" applyAlignment="1">
      <alignment horizontal="left" vertical="center" wrapText="1"/>
    </xf>
    <xf numFmtId="0" fontId="4" fillId="0" borderId="37" xfId="0" applyFont="1" applyBorder="1" applyAlignment="1">
      <alignment horizontal="left" vertical="center" wrapText="1"/>
    </xf>
    <xf numFmtId="0" fontId="4" fillId="0" borderId="14" xfId="0" applyFont="1" applyBorder="1" applyAlignment="1">
      <alignment horizontal="left" vertical="center" wrapText="1"/>
    </xf>
    <xf numFmtId="0" fontId="0" fillId="5" borderId="65" xfId="0" applyFill="1" applyBorder="1" applyAlignment="1">
      <alignment horizontal="center" vertical="top"/>
    </xf>
    <xf numFmtId="0" fontId="0" fillId="5" borderId="106" xfId="0" applyFill="1" applyBorder="1" applyAlignment="1">
      <alignment horizontal="center" vertical="top"/>
    </xf>
    <xf numFmtId="0" fontId="0" fillId="5" borderId="105" xfId="0" applyFill="1" applyBorder="1" applyAlignment="1">
      <alignment horizontal="center" vertical="top"/>
    </xf>
    <xf numFmtId="0" fontId="0" fillId="5" borderId="65" xfId="0" applyFill="1" applyBorder="1" applyAlignment="1">
      <alignment horizontal="left" vertical="top" wrapText="1"/>
    </xf>
    <xf numFmtId="0" fontId="0" fillId="5" borderId="106" xfId="0" applyFill="1" applyBorder="1" applyAlignment="1">
      <alignment horizontal="left" vertical="top" wrapText="1"/>
    </xf>
    <xf numFmtId="0" fontId="0" fillId="5" borderId="105" xfId="0" applyFill="1" applyBorder="1" applyAlignment="1">
      <alignment horizontal="left" vertical="top" wrapText="1"/>
    </xf>
    <xf numFmtId="0" fontId="4" fillId="5" borderId="106" xfId="0" applyFont="1" applyFill="1" applyBorder="1" applyAlignment="1">
      <alignment horizontal="left" vertical="top" wrapText="1"/>
    </xf>
    <xf numFmtId="0" fontId="0" fillId="5" borderId="65" xfId="0" applyFill="1" applyBorder="1" applyAlignment="1">
      <alignment horizontal="center" vertical="top" wrapText="1"/>
    </xf>
    <xf numFmtId="0" fontId="0" fillId="5" borderId="106" xfId="0" applyFill="1" applyBorder="1" applyAlignment="1">
      <alignment horizontal="center" vertical="top" wrapText="1"/>
    </xf>
    <xf numFmtId="0" fontId="4" fillId="22" borderId="4" xfId="0" applyFont="1" applyFill="1" applyBorder="1" applyAlignment="1">
      <alignment horizontal="left" vertical="top"/>
    </xf>
    <xf numFmtId="0" fontId="4" fillId="22" borderId="13" xfId="0" applyFont="1" applyFill="1" applyBorder="1" applyAlignment="1">
      <alignment horizontal="left" vertical="top"/>
    </xf>
    <xf numFmtId="0" fontId="4" fillId="22" borderId="37" xfId="0" applyFont="1" applyFill="1" applyBorder="1" applyAlignment="1">
      <alignment horizontal="left" vertical="top"/>
    </xf>
    <xf numFmtId="0" fontId="4" fillId="22" borderId="14" xfId="0" applyFont="1" applyFill="1" applyBorder="1" applyAlignment="1">
      <alignment horizontal="left" vertical="top"/>
    </xf>
    <xf numFmtId="0" fontId="4" fillId="0" borderId="4" xfId="0" applyFont="1" applyBorder="1" applyAlignment="1">
      <alignment horizontal="left" vertical="top"/>
    </xf>
    <xf numFmtId="0" fontId="4" fillId="0" borderId="13" xfId="0" applyFont="1" applyBorder="1" applyAlignment="1">
      <alignment horizontal="left" vertical="top"/>
    </xf>
    <xf numFmtId="0" fontId="4" fillId="0" borderId="37" xfId="0" applyFont="1" applyBorder="1" applyAlignment="1">
      <alignment horizontal="left" vertical="top"/>
    </xf>
    <xf numFmtId="0" fontId="4" fillId="0" borderId="14" xfId="0" applyFont="1" applyBorder="1" applyAlignment="1">
      <alignment horizontal="left" vertical="top"/>
    </xf>
    <xf numFmtId="0" fontId="0" fillId="0" borderId="65" xfId="0" applyBorder="1" applyAlignment="1">
      <alignment horizontal="center" vertical="top"/>
    </xf>
    <xf numFmtId="0" fontId="0" fillId="0" borderId="106" xfId="0" applyBorder="1" applyAlignment="1">
      <alignment horizontal="center" vertical="top"/>
    </xf>
    <xf numFmtId="0" fontId="0" fillId="0" borderId="105" xfId="0" applyBorder="1" applyAlignment="1">
      <alignment horizontal="center" vertical="top"/>
    </xf>
    <xf numFmtId="0" fontId="0" fillId="0" borderId="65" xfId="0" applyBorder="1" applyAlignment="1">
      <alignment horizontal="left" vertical="top" wrapText="1"/>
    </xf>
    <xf numFmtId="0" fontId="0" fillId="0" borderId="106" xfId="0" applyBorder="1" applyAlignment="1">
      <alignment horizontal="left" vertical="top" wrapText="1"/>
    </xf>
    <xf numFmtId="0" fontId="0" fillId="0" borderId="105" xfId="0" applyBorder="1" applyAlignment="1">
      <alignment horizontal="left" vertical="top" wrapText="1"/>
    </xf>
    <xf numFmtId="0" fontId="0" fillId="0" borderId="12" xfId="0" applyBorder="1" applyAlignment="1">
      <alignment horizontal="left" vertical="top" wrapText="1"/>
    </xf>
    <xf numFmtId="0" fontId="46" fillId="19" borderId="31" xfId="0" applyFont="1" applyFill="1" applyBorder="1" applyAlignment="1">
      <alignment horizontal="left" vertical="center" wrapText="1"/>
    </xf>
    <xf numFmtId="0" fontId="46" fillId="19" borderId="33" xfId="0" applyFont="1" applyFill="1" applyBorder="1" applyAlignment="1">
      <alignment horizontal="left" vertical="center" wrapText="1"/>
    </xf>
    <xf numFmtId="0" fontId="46" fillId="19" borderId="58" xfId="0" applyFont="1" applyFill="1" applyBorder="1" applyAlignment="1">
      <alignment horizontal="left" vertical="center" wrapText="1"/>
    </xf>
    <xf numFmtId="0" fontId="45" fillId="0" borderId="0" xfId="0" applyFont="1" applyAlignment="1">
      <alignment horizontal="center"/>
    </xf>
    <xf numFmtId="0" fontId="46" fillId="13" borderId="1" xfId="0" applyFont="1" applyFill="1" applyBorder="1" applyAlignment="1">
      <alignment horizontal="center"/>
    </xf>
    <xf numFmtId="0" fontId="46" fillId="13" borderId="2" xfId="0" applyFont="1" applyFill="1" applyBorder="1" applyAlignment="1">
      <alignment horizontal="center"/>
    </xf>
    <xf numFmtId="0" fontId="46" fillId="13" borderId="3" xfId="0" applyFont="1" applyFill="1" applyBorder="1" applyAlignment="1">
      <alignment horizontal="center"/>
    </xf>
    <xf numFmtId="0" fontId="47" fillId="14" borderId="84" xfId="0" applyFont="1" applyFill="1" applyBorder="1" applyAlignment="1">
      <alignment horizontal="center"/>
    </xf>
    <xf numFmtId="0" fontId="47" fillId="14" borderId="77" xfId="0" applyFont="1" applyFill="1" applyBorder="1" applyAlignment="1">
      <alignment horizontal="center"/>
    </xf>
    <xf numFmtId="0" fontId="47" fillId="14" borderId="38" xfId="0" applyFont="1" applyFill="1" applyBorder="1" applyAlignment="1">
      <alignment horizontal="center"/>
    </xf>
    <xf numFmtId="0" fontId="46" fillId="42" borderId="106" xfId="0" applyFont="1" applyFill="1" applyBorder="1" applyAlignment="1">
      <alignment horizontal="left"/>
    </xf>
    <xf numFmtId="0" fontId="49" fillId="17" borderId="45" xfId="0" applyFont="1" applyFill="1" applyBorder="1" applyAlignment="1">
      <alignment horizontal="center" vertical="top" wrapText="1"/>
    </xf>
    <xf numFmtId="0" fontId="49" fillId="17" borderId="126" xfId="0" applyFont="1" applyFill="1" applyBorder="1" applyAlignment="1">
      <alignment horizontal="center" vertical="top" wrapText="1"/>
    </xf>
    <xf numFmtId="0" fontId="49" fillId="17" borderId="46" xfId="0" applyFont="1" applyFill="1" applyBorder="1" applyAlignment="1">
      <alignment vertical="top" wrapText="1"/>
    </xf>
    <xf numFmtId="0" fontId="49" fillId="17" borderId="127" xfId="0" applyFont="1" applyFill="1" applyBorder="1" applyAlignment="1">
      <alignment vertical="top" wrapText="1"/>
    </xf>
    <xf numFmtId="0" fontId="49" fillId="17" borderId="53" xfId="0" applyFont="1" applyFill="1" applyBorder="1" applyAlignment="1">
      <alignment horizontal="center" vertical="top" wrapText="1"/>
    </xf>
    <xf numFmtId="0" fontId="49" fillId="17" borderId="70" xfId="0" applyFont="1" applyFill="1" applyBorder="1" applyAlignment="1">
      <alignment horizontal="center" vertical="top" wrapText="1"/>
    </xf>
    <xf numFmtId="0" fontId="49" fillId="17" borderId="54" xfId="0" applyFont="1" applyFill="1" applyBorder="1" applyAlignment="1">
      <alignment vertical="top" wrapText="1"/>
    </xf>
    <xf numFmtId="0" fontId="49" fillId="17" borderId="129" xfId="0" applyFont="1" applyFill="1" applyBorder="1" applyAlignment="1">
      <alignment vertical="top" wrapText="1"/>
    </xf>
    <xf numFmtId="0" fontId="49" fillId="17" borderId="66" xfId="0" applyFont="1" applyFill="1" applyBorder="1" applyAlignment="1">
      <alignment horizontal="center" vertical="top" wrapText="1"/>
    </xf>
    <xf numFmtId="0" fontId="49" fillId="17" borderId="59" xfId="0" applyFont="1" applyFill="1" applyBorder="1" applyAlignment="1">
      <alignment horizontal="center" vertical="top" wrapText="1"/>
    </xf>
    <xf numFmtId="0" fontId="49" fillId="17" borderId="67" xfId="0" applyFont="1" applyFill="1" applyBorder="1" applyAlignment="1">
      <alignment horizontal="center" vertical="top" wrapText="1"/>
    </xf>
    <xf numFmtId="0" fontId="49" fillId="17" borderId="55" xfId="0" applyFont="1" applyFill="1" applyBorder="1" applyAlignment="1">
      <alignment vertical="top" wrapText="1"/>
    </xf>
    <xf numFmtId="0" fontId="49" fillId="17" borderId="49" xfId="0" applyFont="1" applyFill="1" applyBorder="1" applyAlignment="1">
      <alignment vertical="top" wrapText="1"/>
    </xf>
    <xf numFmtId="0" fontId="46" fillId="16" borderId="31" xfId="0" applyFont="1" applyFill="1" applyBorder="1" applyAlignment="1">
      <alignment horizontal="left" vertical="center" wrapText="1"/>
    </xf>
    <xf numFmtId="0" fontId="46" fillId="16" borderId="33" xfId="0" applyFont="1" applyFill="1" applyBorder="1" applyAlignment="1">
      <alignment horizontal="left" vertical="center" wrapText="1"/>
    </xf>
    <xf numFmtId="0" fontId="46" fillId="16" borderId="58" xfId="0" applyFont="1" applyFill="1" applyBorder="1" applyAlignment="1">
      <alignment horizontal="left" vertical="center" wrapText="1"/>
    </xf>
    <xf numFmtId="0" fontId="46" fillId="6" borderId="31" xfId="0" applyFont="1" applyFill="1" applyBorder="1" applyAlignment="1">
      <alignment horizontal="left" vertical="center"/>
    </xf>
    <xf numFmtId="0" fontId="46" fillId="6" borderId="33" xfId="0" applyFont="1" applyFill="1" applyBorder="1" applyAlignment="1">
      <alignment horizontal="left" vertical="center"/>
    </xf>
    <xf numFmtId="0" fontId="46" fillId="6" borderId="58" xfId="0" applyFont="1" applyFill="1" applyBorder="1" applyAlignment="1">
      <alignment horizontal="left" vertical="center"/>
    </xf>
    <xf numFmtId="0" fontId="0" fillId="0" borderId="16" xfId="0" applyBorder="1" applyAlignment="1">
      <alignment horizontal="center" vertical="top"/>
    </xf>
    <xf numFmtId="0" fontId="0" fillId="0" borderId="8" xfId="0" applyBorder="1" applyAlignment="1">
      <alignment horizontal="center" vertical="top"/>
    </xf>
    <xf numFmtId="0" fontId="0" fillId="0" borderId="6" xfId="0" applyBorder="1" applyAlignment="1">
      <alignment horizontal="left" vertical="top" wrapText="1"/>
    </xf>
    <xf numFmtId="0" fontId="15" fillId="0" borderId="0" xfId="0" applyFont="1" applyAlignment="1">
      <alignment horizontal="center" vertical="top" wrapText="1"/>
    </xf>
    <xf numFmtId="0" fontId="4" fillId="6" borderId="31" xfId="0" applyFont="1" applyFill="1" applyBorder="1" applyAlignment="1">
      <alignment horizontal="left" vertical="center" wrapText="1"/>
    </xf>
    <xf numFmtId="0" fontId="4" fillId="6" borderId="33" xfId="0" applyFont="1" applyFill="1" applyBorder="1" applyAlignment="1">
      <alignment horizontal="left" vertical="center" wrapText="1"/>
    </xf>
    <xf numFmtId="0" fontId="4" fillId="6" borderId="58" xfId="0" applyFont="1" applyFill="1" applyBorder="1" applyAlignment="1">
      <alignment horizontal="left" vertical="center" wrapText="1"/>
    </xf>
    <xf numFmtId="0" fontId="4" fillId="12" borderId="106" xfId="0" applyFont="1" applyFill="1" applyBorder="1" applyAlignment="1">
      <alignment horizontal="left" vertical="center"/>
    </xf>
    <xf numFmtId="0" fontId="4" fillId="6" borderId="39" xfId="0" applyFont="1" applyFill="1" applyBorder="1" applyAlignment="1">
      <alignment horizontal="left" wrapText="1"/>
    </xf>
    <xf numFmtId="0" fontId="4" fillId="6" borderId="40" xfId="0" applyFont="1" applyFill="1" applyBorder="1" applyAlignment="1">
      <alignment horizontal="left" wrapText="1"/>
    </xf>
    <xf numFmtId="0" fontId="4" fillId="6" borderId="119" xfId="0" applyFont="1" applyFill="1" applyBorder="1" applyAlignment="1">
      <alignment horizontal="left" wrapText="1"/>
    </xf>
    <xf numFmtId="0" fontId="4" fillId="6" borderId="41" xfId="0" applyFont="1" applyFill="1" applyBorder="1" applyAlignment="1">
      <alignment horizontal="left" wrapText="1"/>
    </xf>
    <xf numFmtId="0" fontId="4" fillId="6" borderId="31" xfId="0" applyFont="1" applyFill="1" applyBorder="1" applyAlignment="1">
      <alignment horizontal="center" wrapText="1"/>
    </xf>
    <xf numFmtId="0" fontId="4" fillId="6" borderId="33" xfId="0" applyFont="1" applyFill="1" applyBorder="1" applyAlignment="1">
      <alignment horizontal="center" wrapText="1"/>
    </xf>
    <xf numFmtId="0" fontId="4" fillId="6" borderId="58" xfId="0" applyFont="1" applyFill="1" applyBorder="1" applyAlignment="1">
      <alignment horizontal="center" wrapText="1"/>
    </xf>
    <xf numFmtId="0" fontId="4" fillId="6" borderId="1"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0" fontId="0" fillId="0" borderId="12" xfId="0" applyBorder="1" applyAlignment="1">
      <alignment horizontal="center" vertical="top"/>
    </xf>
    <xf numFmtId="0" fontId="0" fillId="0" borderId="6" xfId="0" applyBorder="1" applyAlignment="1">
      <alignment vertical="top"/>
    </xf>
    <xf numFmtId="0" fontId="4" fillId="6" borderId="31" xfId="0" applyFont="1" applyFill="1" applyBorder="1" applyAlignment="1">
      <alignment horizontal="left" wrapText="1"/>
    </xf>
    <xf numFmtId="0" fontId="4" fillId="6" borderId="33" xfId="0" applyFont="1" applyFill="1" applyBorder="1" applyAlignment="1">
      <alignment horizontal="left" wrapText="1"/>
    </xf>
    <xf numFmtId="0" fontId="4" fillId="6" borderId="3" xfId="0" applyFont="1" applyFill="1" applyBorder="1" applyAlignment="1">
      <alignment horizontal="left" wrapText="1"/>
    </xf>
    <xf numFmtId="0" fontId="8" fillId="0" borderId="16" xfId="0" applyFont="1" applyBorder="1" applyAlignment="1">
      <alignment horizontal="center" vertical="top"/>
    </xf>
    <xf numFmtId="0" fontId="8" fillId="0" borderId="12" xfId="0" applyFont="1" applyBorder="1" applyAlignment="1">
      <alignment horizontal="center" vertical="top"/>
    </xf>
    <xf numFmtId="0" fontId="8" fillId="0" borderId="8" xfId="0" applyFont="1" applyBorder="1" applyAlignment="1">
      <alignment horizontal="center" vertical="top"/>
    </xf>
    <xf numFmtId="0" fontId="8" fillId="0" borderId="6" xfId="0" applyFont="1" applyBorder="1" applyAlignment="1">
      <alignment vertical="top" wrapText="1"/>
    </xf>
    <xf numFmtId="0" fontId="37" fillId="4" borderId="63" xfId="0" applyFont="1" applyFill="1" applyBorder="1" applyAlignment="1">
      <alignment horizontal="right" vertical="center" wrapText="1"/>
    </xf>
    <xf numFmtId="0" fontId="37" fillId="4" borderId="0" xfId="0" applyFont="1" applyFill="1" applyAlignment="1">
      <alignment horizontal="right" vertical="center" wrapText="1"/>
    </xf>
    <xf numFmtId="0" fontId="37" fillId="4" borderId="134" xfId="0" applyFont="1" applyFill="1" applyBorder="1" applyAlignment="1">
      <alignment horizontal="right" vertical="center" wrapText="1"/>
    </xf>
    <xf numFmtId="0" fontId="37" fillId="4" borderId="135" xfId="0" applyFont="1" applyFill="1" applyBorder="1" applyAlignment="1">
      <alignment horizontal="right" vertical="center" wrapText="1"/>
    </xf>
    <xf numFmtId="0" fontId="37" fillId="4" borderId="136" xfId="0" applyFont="1" applyFill="1" applyBorder="1" applyAlignment="1">
      <alignment horizontal="right" vertical="center" wrapText="1"/>
    </xf>
    <xf numFmtId="0" fontId="38" fillId="5" borderId="105" xfId="0" applyFont="1" applyFill="1" applyBorder="1" applyAlignment="1">
      <alignment horizontal="left" vertical="center" wrapText="1"/>
    </xf>
    <xf numFmtId="0" fontId="38" fillId="5" borderId="11" xfId="0" applyFont="1" applyFill="1" applyBorder="1" applyAlignment="1">
      <alignment horizontal="left" vertical="center" wrapText="1"/>
    </xf>
    <xf numFmtId="0" fontId="38" fillId="5" borderId="10" xfId="0" applyFont="1" applyFill="1" applyBorder="1" applyAlignment="1">
      <alignment horizontal="center" vertical="top" wrapText="1"/>
    </xf>
    <xf numFmtId="0" fontId="38" fillId="5" borderId="8" xfId="0" applyFont="1" applyFill="1" applyBorder="1" applyAlignment="1">
      <alignment horizontal="center" vertical="top" wrapText="1"/>
    </xf>
    <xf numFmtId="0" fontId="38" fillId="5" borderId="10" xfId="0" applyFont="1" applyFill="1" applyBorder="1" applyAlignment="1">
      <alignment vertical="top" wrapText="1"/>
    </xf>
    <xf numFmtId="0" fontId="38" fillId="5" borderId="8" xfId="0" applyFont="1" applyFill="1" applyBorder="1" applyAlignment="1">
      <alignment vertical="top" wrapText="1"/>
    </xf>
    <xf numFmtId="0" fontId="38" fillId="5" borderId="12" xfId="0" applyFont="1" applyFill="1" applyBorder="1" applyAlignment="1">
      <alignment horizontal="center" vertical="top" wrapText="1"/>
    </xf>
    <xf numFmtId="0" fontId="38" fillId="5" borderId="12" xfId="0" applyFont="1" applyFill="1" applyBorder="1" applyAlignment="1">
      <alignment vertical="top" wrapText="1"/>
    </xf>
    <xf numFmtId="0" fontId="38" fillId="5" borderId="6" xfId="0" applyFont="1" applyFill="1" applyBorder="1" applyAlignment="1">
      <alignment horizontal="center" vertical="top" wrapText="1"/>
    </xf>
    <xf numFmtId="0" fontId="38" fillId="5" borderId="6" xfId="0" applyFont="1" applyFill="1" applyBorder="1" applyAlignment="1">
      <alignment vertical="top"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6" fillId="0" borderId="1" xfId="0" applyFont="1" applyBorder="1" applyAlignment="1">
      <alignment horizontal="left" wrapText="1"/>
    </xf>
    <xf numFmtId="0" fontId="36" fillId="0" borderId="2" xfId="0" applyFont="1" applyBorder="1" applyAlignment="1">
      <alignment horizontal="left" wrapText="1"/>
    </xf>
    <xf numFmtId="0" fontId="36" fillId="0" borderId="3" xfId="0" applyFont="1" applyBorder="1" applyAlignment="1">
      <alignment horizontal="left"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5" borderId="1" xfId="0" applyFont="1" applyFill="1" applyBorder="1" applyAlignment="1">
      <alignment horizontal="left" vertical="top" wrapText="1"/>
    </xf>
    <xf numFmtId="0" fontId="9" fillId="5" borderId="2" xfId="0" applyFont="1" applyFill="1" applyBorder="1" applyAlignment="1">
      <alignment horizontal="left" vertical="top" wrapText="1"/>
    </xf>
    <xf numFmtId="0" fontId="9" fillId="5" borderId="3" xfId="0" applyFont="1" applyFill="1" applyBorder="1" applyAlignment="1">
      <alignment horizontal="left" vertical="top" wrapText="1"/>
    </xf>
    <xf numFmtId="0" fontId="8" fillId="0" borderId="6" xfId="0" applyFont="1" applyBorder="1" applyAlignment="1">
      <alignment horizontal="center" vertical="top" wrapText="1"/>
    </xf>
    <xf numFmtId="0" fontId="8" fillId="0" borderId="12" xfId="0" applyFont="1" applyBorder="1" applyAlignment="1">
      <alignment horizontal="center" vertical="top" wrapText="1"/>
    </xf>
    <xf numFmtId="0" fontId="3" fillId="0" borderId="35" xfId="0" applyFont="1" applyBorder="1" applyAlignment="1">
      <alignment horizontal="left" vertical="top"/>
    </xf>
    <xf numFmtId="0" fontId="33" fillId="3" borderId="31" xfId="0" applyFont="1" applyFill="1" applyBorder="1" applyAlignment="1">
      <alignment horizontal="left" vertical="center" wrapText="1"/>
    </xf>
    <xf numFmtId="0" fontId="33" fillId="3" borderId="33" xfId="0" applyFont="1" applyFill="1" applyBorder="1" applyAlignment="1">
      <alignment horizontal="left" vertical="center" wrapText="1"/>
    </xf>
    <xf numFmtId="0" fontId="33" fillId="3" borderId="58" xfId="0" applyFont="1" applyFill="1" applyBorder="1" applyAlignment="1">
      <alignment horizontal="left" vertical="center" wrapText="1"/>
    </xf>
    <xf numFmtId="0" fontId="8" fillId="11" borderId="10" xfId="0" applyFont="1" applyFill="1" applyBorder="1" applyAlignment="1">
      <alignment horizontal="left" vertical="top" wrapText="1"/>
    </xf>
    <xf numFmtId="0" fontId="8" fillId="11" borderId="12" xfId="0" applyFont="1" applyFill="1" applyBorder="1" applyAlignment="1">
      <alignment horizontal="left" vertical="top" wrapText="1"/>
    </xf>
    <xf numFmtId="0" fontId="8" fillId="11" borderId="8" xfId="0" applyFont="1" applyFill="1" applyBorder="1" applyAlignment="1">
      <alignment horizontal="left" vertical="top" wrapText="1"/>
    </xf>
    <xf numFmtId="0" fontId="8" fillId="5" borderId="16" xfId="0" applyFont="1" applyFill="1" applyBorder="1" applyAlignment="1">
      <alignment horizontal="center" vertical="top" wrapText="1"/>
    </xf>
    <xf numFmtId="0" fontId="8" fillId="5" borderId="12" xfId="0" applyFont="1" applyFill="1" applyBorder="1" applyAlignment="1">
      <alignment horizontal="center" vertical="top" wrapText="1"/>
    </xf>
    <xf numFmtId="0" fontId="8" fillId="5" borderId="133" xfId="0" applyFont="1" applyFill="1" applyBorder="1" applyAlignment="1">
      <alignment horizontal="center" vertical="top" wrapText="1"/>
    </xf>
    <xf numFmtId="0" fontId="8" fillId="0" borderId="12" xfId="0" applyFont="1" applyBorder="1" applyAlignment="1">
      <alignment horizontal="left" vertical="top" wrapText="1"/>
    </xf>
    <xf numFmtId="0" fontId="8" fillId="0" borderId="133" xfId="0" applyFont="1" applyBorder="1" applyAlignment="1">
      <alignment horizontal="left" vertical="top" wrapText="1"/>
    </xf>
    <xf numFmtId="0" fontId="8" fillId="11" borderId="16" xfId="0" applyFont="1" applyFill="1" applyBorder="1" applyAlignment="1">
      <alignment horizontal="left" vertical="top" wrapText="1"/>
    </xf>
    <xf numFmtId="0" fontId="8" fillId="11" borderId="65" xfId="0" applyFont="1" applyFill="1" applyBorder="1" applyAlignment="1">
      <alignment horizontal="left" vertical="top" wrapText="1"/>
    </xf>
    <xf numFmtId="0" fontId="30" fillId="5" borderId="105" xfId="0" applyFont="1" applyFill="1" applyBorder="1" applyAlignment="1">
      <alignment horizontal="center" vertical="top" wrapText="1"/>
    </xf>
    <xf numFmtId="0" fontId="30" fillId="5" borderId="12" xfId="0" applyFont="1" applyFill="1" applyBorder="1" applyAlignment="1">
      <alignment horizontal="center" vertical="top" wrapText="1"/>
    </xf>
    <xf numFmtId="0" fontId="30" fillId="5" borderId="65" xfId="0" applyFont="1" applyFill="1" applyBorder="1" applyAlignment="1">
      <alignment horizontal="center" vertical="top" wrapText="1"/>
    </xf>
    <xf numFmtId="0" fontId="67" fillId="5" borderId="105" xfId="0" applyFont="1" applyFill="1" applyBorder="1" applyAlignment="1">
      <alignment horizontal="left" vertical="top" wrapText="1"/>
    </xf>
    <xf numFmtId="0" fontId="67" fillId="5" borderId="12" xfId="0" applyFont="1" applyFill="1" applyBorder="1" applyAlignment="1">
      <alignment horizontal="left" vertical="top" wrapText="1"/>
    </xf>
    <xf numFmtId="0" fontId="67" fillId="5" borderId="65" xfId="0" applyFont="1" applyFill="1" applyBorder="1" applyAlignment="1">
      <alignment horizontal="left" vertical="top" wrapText="1"/>
    </xf>
    <xf numFmtId="0" fontId="30" fillId="5" borderId="106" xfId="0" applyFont="1" applyFill="1" applyBorder="1" applyAlignment="1">
      <alignment horizontal="center" vertical="top" wrapText="1"/>
    </xf>
    <xf numFmtId="0" fontId="67" fillId="5" borderId="106" xfId="0" applyFont="1" applyFill="1" applyBorder="1" applyAlignment="1">
      <alignment horizontal="left" vertical="top" wrapText="1"/>
    </xf>
    <xf numFmtId="0" fontId="111" fillId="2" borderId="1" xfId="0" applyFont="1" applyFill="1" applyBorder="1" applyAlignment="1">
      <alignment horizontal="center" wrapText="1"/>
    </xf>
    <xf numFmtId="0" fontId="111" fillId="2" borderId="2" xfId="0" applyFont="1" applyFill="1" applyBorder="1" applyAlignment="1">
      <alignment horizontal="center" wrapText="1"/>
    </xf>
    <xf numFmtId="0" fontId="111" fillId="2" borderId="3" xfId="0" applyFont="1" applyFill="1" applyBorder="1" applyAlignment="1">
      <alignment horizontal="center" wrapText="1"/>
    </xf>
    <xf numFmtId="0" fontId="65" fillId="0" borderId="1"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26" fillId="0" borderId="105" xfId="0" applyFont="1" applyBorder="1" applyAlignment="1">
      <alignment horizontal="center" vertical="top" wrapText="1"/>
    </xf>
    <xf numFmtId="0" fontId="26" fillId="0" borderId="12" xfId="0" applyFont="1" applyBorder="1" applyAlignment="1">
      <alignment horizontal="center" vertical="top" wrapText="1"/>
    </xf>
    <xf numFmtId="0" fontId="26" fillId="0" borderId="65" xfId="0" applyFont="1" applyBorder="1" applyAlignment="1">
      <alignment horizontal="center" vertical="top" wrapText="1"/>
    </xf>
    <xf numFmtId="0" fontId="63" fillId="0" borderId="105" xfId="0" applyFont="1" applyBorder="1" applyAlignment="1">
      <alignment horizontal="left" vertical="top" wrapText="1"/>
    </xf>
    <xf numFmtId="0" fontId="63" fillId="0" borderId="12" xfId="0" applyFont="1" applyBorder="1" applyAlignment="1">
      <alignment horizontal="left" vertical="top" wrapText="1"/>
    </xf>
    <xf numFmtId="0" fontId="63" fillId="0" borderId="65" xfId="0" applyFont="1" applyBorder="1" applyAlignment="1">
      <alignment horizontal="left" vertical="top" wrapText="1"/>
    </xf>
    <xf numFmtId="0" fontId="19" fillId="0" borderId="22" xfId="0" applyFont="1" applyBorder="1" applyAlignment="1">
      <alignment horizontal="center" vertical="top" wrapText="1"/>
    </xf>
    <xf numFmtId="0" fontId="19" fillId="0" borderId="24" xfId="0" applyFont="1" applyBorder="1" applyAlignment="1">
      <alignment horizontal="center" vertical="top" wrapText="1"/>
    </xf>
    <xf numFmtId="0" fontId="19" fillId="0" borderId="10" xfId="0" applyFont="1" applyBorder="1" applyAlignment="1">
      <alignment horizontal="left" vertical="top" wrapText="1"/>
    </xf>
    <xf numFmtId="0" fontId="19" fillId="0" borderId="12" xfId="0" applyFont="1" applyBorder="1" applyAlignment="1">
      <alignment horizontal="left" vertical="top" wrapText="1"/>
    </xf>
    <xf numFmtId="0" fontId="121" fillId="0" borderId="0" xfId="0" applyFont="1" applyAlignment="1">
      <alignment horizontal="center" vertical="center" wrapText="1"/>
    </xf>
    <xf numFmtId="0" fontId="120" fillId="0" borderId="0" xfId="0" applyFont="1" applyAlignment="1">
      <alignment horizontal="center"/>
    </xf>
    <xf numFmtId="0" fontId="20" fillId="3" borderId="1" xfId="0" applyFont="1" applyFill="1" applyBorder="1" applyAlignment="1">
      <alignment horizontal="left" vertical="top" wrapText="1"/>
    </xf>
    <xf numFmtId="0" fontId="20" fillId="3" borderId="2" xfId="0" applyFont="1" applyFill="1" applyBorder="1" applyAlignment="1">
      <alignment horizontal="left" vertical="top" wrapText="1"/>
    </xf>
    <xf numFmtId="0" fontId="20" fillId="3" borderId="3" xfId="0" applyFont="1" applyFill="1" applyBorder="1" applyAlignment="1">
      <alignment horizontal="left" vertical="top" wrapText="1"/>
    </xf>
    <xf numFmtId="0" fontId="22" fillId="0" borderId="22" xfId="0" applyFont="1" applyBorder="1" applyAlignment="1">
      <alignment horizontal="center" vertical="top" wrapText="1"/>
    </xf>
    <xf numFmtId="0" fontId="22" fillId="0" borderId="24" xfId="0" applyFont="1" applyBorder="1" applyAlignment="1">
      <alignment horizontal="center"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7" fillId="10" borderId="1" xfId="0" applyFont="1" applyFill="1" applyBorder="1" applyAlignment="1">
      <alignment horizontal="left" vertical="top" wrapText="1"/>
    </xf>
    <xf numFmtId="0" fontId="27" fillId="10" borderId="2" xfId="0" applyFont="1" applyFill="1" applyBorder="1" applyAlignment="1">
      <alignment horizontal="left" vertical="top" wrapText="1"/>
    </xf>
    <xf numFmtId="0" fontId="27" fillId="10" borderId="3" xfId="0" applyFont="1" applyFill="1" applyBorder="1" applyAlignment="1">
      <alignment horizontal="left" vertical="top" wrapText="1"/>
    </xf>
    <xf numFmtId="0" fontId="19" fillId="0" borderId="26" xfId="0" applyFont="1" applyBorder="1" applyAlignment="1">
      <alignment horizontal="center" vertical="top" wrapText="1"/>
    </xf>
    <xf numFmtId="0" fontId="19" fillId="0" borderId="27" xfId="0" applyFont="1" applyBorder="1" applyAlignment="1">
      <alignment horizontal="center" vertical="top" wrapText="1"/>
    </xf>
    <xf numFmtId="0" fontId="26" fillId="0" borderId="16" xfId="0" applyFont="1" applyBorder="1" applyAlignment="1">
      <alignment horizontal="left" vertical="top" wrapText="1"/>
    </xf>
    <xf numFmtId="0" fontId="26" fillId="0" borderId="8" xfId="0" applyFont="1" applyBorder="1" applyAlignment="1">
      <alignment horizontal="left" vertical="top" wrapText="1"/>
    </xf>
    <xf numFmtId="0" fontId="19" fillId="0" borderId="8" xfId="0" applyFont="1" applyBorder="1" applyAlignment="1">
      <alignment horizontal="left" vertical="top" wrapText="1"/>
    </xf>
    <xf numFmtId="0" fontId="30" fillId="0" borderId="26" xfId="0" applyFont="1" applyBorder="1" applyAlignment="1">
      <alignment horizontal="center" vertical="top" wrapText="1"/>
    </xf>
    <xf numFmtId="0" fontId="30" fillId="0" borderId="24" xfId="0" applyFont="1" applyBorder="1" applyAlignment="1">
      <alignment horizontal="center" vertical="top" wrapText="1"/>
    </xf>
    <xf numFmtId="0" fontId="30" fillId="0" borderId="28" xfId="0" applyFont="1" applyBorder="1" applyAlignment="1">
      <alignment horizontal="center" vertical="top" wrapText="1"/>
    </xf>
    <xf numFmtId="0" fontId="30" fillId="0" borderId="16" xfId="0" applyFont="1" applyBorder="1" applyAlignment="1">
      <alignment horizontal="left" vertical="top" wrapText="1"/>
    </xf>
    <xf numFmtId="0" fontId="30" fillId="0" borderId="11" xfId="0" applyFont="1" applyBorder="1" applyAlignment="1">
      <alignment horizontal="left" vertical="top" wrapText="1"/>
    </xf>
    <xf numFmtId="0" fontId="7" fillId="0" borderId="6" xfId="0" applyFont="1" applyBorder="1" applyAlignment="1">
      <alignment horizontal="center" vertical="top" wrapText="1"/>
    </xf>
    <xf numFmtId="0" fontId="0" fillId="0" borderId="9" xfId="0" applyBorder="1" applyAlignment="1">
      <alignment horizontal="left" vertical="top" wrapText="1"/>
    </xf>
    <xf numFmtId="0" fontId="0" fillId="0" borderId="18" xfId="0" applyBorder="1" applyAlignment="1">
      <alignment horizontal="left" vertical="top" wrapText="1"/>
    </xf>
    <xf numFmtId="0" fontId="0" fillId="0" borderId="7" xfId="0" applyBorder="1" applyAlignment="1">
      <alignment horizontal="left" vertical="top" wrapText="1"/>
    </xf>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3" xfId="0" applyFont="1" applyFill="1" applyBorder="1" applyAlignment="1">
      <alignment horizontal="left" vertical="center" wrapText="1"/>
    </xf>
    <xf numFmtId="0" fontId="7" fillId="0" borderId="16" xfId="0" applyFont="1" applyBorder="1" applyAlignment="1">
      <alignment horizontal="center" vertical="top" wrapText="1"/>
    </xf>
    <xf numFmtId="0" fontId="7" fillId="0" borderId="12" xfId="0" applyFont="1" applyBorder="1" applyAlignment="1">
      <alignment horizontal="center" vertical="top" wrapText="1"/>
    </xf>
    <xf numFmtId="0" fontId="7" fillId="0" borderId="8" xfId="0" applyFont="1" applyBorder="1" applyAlignment="1">
      <alignment horizontal="center" vertical="top" wrapText="1"/>
    </xf>
    <xf numFmtId="0" fontId="0" fillId="0" borderId="16" xfId="0" applyBorder="1" applyAlignment="1">
      <alignment horizontal="left" vertical="top" wrapText="1"/>
    </xf>
    <xf numFmtId="0" fontId="0" fillId="0" borderId="8" xfId="0" applyBorder="1" applyAlignment="1">
      <alignment horizontal="left" vertical="top"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7" fillId="0" borderId="10" xfId="0" applyFont="1" applyBorder="1" applyAlignment="1">
      <alignment horizontal="center" vertical="top" wrapText="1"/>
    </xf>
    <xf numFmtId="0" fontId="6" fillId="3" borderId="0" xfId="0" applyFont="1" applyFill="1" applyAlignment="1">
      <alignment horizontal="left" vertical="center" wrapText="1"/>
    </xf>
    <xf numFmtId="0" fontId="6" fillId="3" borderId="18" xfId="0" applyFont="1" applyFill="1" applyBorder="1" applyAlignment="1">
      <alignment horizontal="left" vertical="center" wrapText="1"/>
    </xf>
    <xf numFmtId="0" fontId="0" fillId="5" borderId="9" xfId="0" applyFill="1" applyBorder="1" applyAlignment="1">
      <alignment horizontal="left" vertical="top" wrapText="1"/>
    </xf>
    <xf numFmtId="0" fontId="0" fillId="5" borderId="18" xfId="0" applyFill="1" applyBorder="1" applyAlignment="1">
      <alignment horizontal="left" vertical="top" wrapText="1"/>
    </xf>
    <xf numFmtId="0" fontId="0" fillId="5" borderId="7" xfId="0" applyFill="1" applyBorder="1" applyAlignment="1">
      <alignment horizontal="left" vertical="top" wrapText="1"/>
    </xf>
    <xf numFmtId="0" fontId="6" fillId="7"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7" fillId="0" borderId="11" xfId="0" applyFont="1" applyBorder="1" applyAlignment="1">
      <alignment horizontal="center" vertical="top" wrapText="1"/>
    </xf>
    <xf numFmtId="0" fontId="0" fillId="5" borderId="10" xfId="0" applyFill="1" applyBorder="1" applyAlignment="1">
      <alignment horizontal="left" vertical="top" wrapText="1"/>
    </xf>
    <xf numFmtId="0" fontId="0" fillId="5" borderId="11" xfId="0" applyFill="1" applyBorder="1" applyAlignment="1">
      <alignment horizontal="left" vertical="top" wrapText="1"/>
    </xf>
    <xf numFmtId="0" fontId="12" fillId="0" borderId="137" xfId="0" applyFont="1" applyBorder="1" applyAlignment="1">
      <alignment horizontal="left" vertical="center" wrapText="1"/>
    </xf>
    <xf numFmtId="0" fontId="12" fillId="7" borderId="148" xfId="0" applyFont="1" applyFill="1" applyBorder="1" applyAlignment="1">
      <alignment horizontal="center" vertical="center" wrapText="1"/>
    </xf>
    <xf numFmtId="0" fontId="7" fillId="0" borderId="65" xfId="0" applyFont="1" applyBorder="1" applyAlignment="1">
      <alignment horizontal="center" vertical="top" wrapText="1"/>
    </xf>
    <xf numFmtId="0" fontId="7" fillId="0" borderId="137" xfId="0" applyFont="1" applyBorder="1" applyAlignment="1">
      <alignment horizontal="center" vertical="top" wrapText="1"/>
    </xf>
    <xf numFmtId="0" fontId="7" fillId="0" borderId="65" xfId="0" applyFont="1" applyBorder="1" applyAlignment="1">
      <alignment horizontal="left" vertical="top" wrapText="1"/>
    </xf>
    <xf numFmtId="0" fontId="7" fillId="0" borderId="137" xfId="0" applyFont="1" applyBorder="1" applyAlignment="1">
      <alignment horizontal="left" vertical="top" wrapText="1"/>
    </xf>
    <xf numFmtId="0" fontId="7" fillId="5" borderId="148" xfId="0" applyFont="1" applyFill="1" applyBorder="1" applyAlignment="1">
      <alignment horizontal="left" vertical="top" wrapText="1"/>
    </xf>
    <xf numFmtId="0" fontId="7" fillId="5" borderId="133" xfId="0" applyFont="1" applyFill="1" applyBorder="1" applyAlignment="1">
      <alignment horizontal="left" vertical="top" wrapText="1"/>
    </xf>
    <xf numFmtId="0" fontId="7" fillId="5" borderId="65" xfId="0" applyFont="1" applyFill="1" applyBorder="1" applyAlignment="1">
      <alignment horizontal="left" vertical="top" wrapText="1"/>
    </xf>
    <xf numFmtId="0" fontId="143" fillId="0" borderId="150" xfId="0" applyFont="1" applyBorder="1" applyAlignment="1">
      <alignment horizontal="left" vertical="center" wrapText="1"/>
    </xf>
    <xf numFmtId="0" fontId="143" fillId="0" borderId="139" xfId="0" applyFont="1" applyBorder="1" applyAlignment="1">
      <alignment horizontal="left" vertical="center" wrapText="1"/>
    </xf>
    <xf numFmtId="0" fontId="143" fillId="0" borderId="152" xfId="0" applyFont="1" applyBorder="1" applyAlignment="1">
      <alignment horizontal="left" vertical="center" wrapText="1"/>
    </xf>
    <xf numFmtId="0" fontId="143" fillId="0" borderId="151" xfId="0" applyFont="1" applyBorder="1" applyAlignment="1">
      <alignment horizontal="left" vertical="center" wrapText="1"/>
    </xf>
    <xf numFmtId="0" fontId="144" fillId="0" borderId="137" xfId="0" applyFont="1" applyBorder="1" applyAlignment="1">
      <alignment horizontal="center" vertical="top" wrapText="1"/>
    </xf>
    <xf numFmtId="0" fontId="12" fillId="0" borderId="138" xfId="0" applyFont="1" applyBorder="1" applyAlignment="1">
      <alignment horizontal="left" vertical="center" wrapText="1"/>
    </xf>
    <xf numFmtId="0" fontId="12" fillId="0" borderId="139" xfId="0" applyFont="1" applyBorder="1" applyAlignment="1">
      <alignment horizontal="left" vertical="center" wrapText="1"/>
    </xf>
    <xf numFmtId="0" fontId="12" fillId="0" borderId="151" xfId="0" applyFont="1" applyBorder="1" applyAlignment="1">
      <alignment horizontal="left" vertical="center" wrapText="1"/>
    </xf>
    <xf numFmtId="0" fontId="7" fillId="5" borderId="148" xfId="0" applyFont="1" applyFill="1" applyBorder="1" applyAlignment="1">
      <alignment horizontal="center" vertical="top" wrapText="1"/>
    </xf>
    <xf numFmtId="0" fontId="7" fillId="5" borderId="65" xfId="0" applyFont="1" applyFill="1" applyBorder="1" applyAlignment="1">
      <alignment horizontal="center" vertical="top" wrapText="1"/>
    </xf>
    <xf numFmtId="0" fontId="7" fillId="5" borderId="137" xfId="0" applyFont="1" applyFill="1" applyBorder="1" applyAlignment="1">
      <alignment horizontal="left" vertical="top" wrapText="1"/>
    </xf>
    <xf numFmtId="0" fontId="7" fillId="5" borderId="137" xfId="0" applyFont="1" applyFill="1" applyBorder="1" applyAlignment="1">
      <alignment horizontal="center" vertical="top" wrapText="1"/>
    </xf>
    <xf numFmtId="0" fontId="140" fillId="2" borderId="137" xfId="0" applyFont="1" applyFill="1" applyBorder="1" applyAlignment="1">
      <alignment horizontal="center" vertical="center" wrapText="1"/>
    </xf>
    <xf numFmtId="0" fontId="140" fillId="2" borderId="148" xfId="0" applyFont="1" applyFill="1" applyBorder="1" applyAlignment="1">
      <alignment horizontal="center" vertical="center" wrapText="1"/>
    </xf>
    <xf numFmtId="0" fontId="12" fillId="3" borderId="137" xfId="0" applyFont="1" applyFill="1" applyBorder="1" applyAlignment="1">
      <alignment horizontal="left" vertical="center" wrapText="1"/>
    </xf>
    <xf numFmtId="0" fontId="13" fillId="3" borderId="137" xfId="0" applyFont="1" applyFill="1" applyBorder="1" applyAlignment="1">
      <alignment horizontal="left" vertical="center" wrapText="1"/>
    </xf>
    <xf numFmtId="0" fontId="13" fillId="3" borderId="65" xfId="0" applyFont="1" applyFill="1" applyBorder="1" applyAlignment="1">
      <alignment horizontal="left" vertical="center" wrapText="1"/>
    </xf>
    <xf numFmtId="0" fontId="6" fillId="5" borderId="148" xfId="0" applyFont="1" applyFill="1" applyBorder="1" applyAlignment="1">
      <alignment horizontal="center" vertical="top" wrapText="1"/>
    </xf>
    <xf numFmtId="0" fontId="6" fillId="5" borderId="133" xfId="0" applyFont="1" applyFill="1" applyBorder="1" applyAlignment="1">
      <alignment horizontal="center" vertical="top" wrapText="1"/>
    </xf>
    <xf numFmtId="0" fontId="6" fillId="5" borderId="65" xfId="0" applyFont="1" applyFill="1" applyBorder="1" applyAlignment="1">
      <alignment horizontal="center" vertical="top" wrapText="1"/>
    </xf>
    <xf numFmtId="0" fontId="168" fillId="0" borderId="73" xfId="0" applyFont="1" applyBorder="1" applyAlignment="1">
      <alignment horizontal="center"/>
    </xf>
    <xf numFmtId="0" fontId="15" fillId="0" borderId="0" xfId="0" applyFont="1" applyAlignment="1">
      <alignment horizontal="center" wrapText="1"/>
    </xf>
    <xf numFmtId="0" fontId="15" fillId="0" borderId="134" xfId="0" applyFont="1" applyBorder="1" applyAlignment="1">
      <alignment horizontal="center" wrapText="1"/>
    </xf>
    <xf numFmtId="0" fontId="14" fillId="0" borderId="106" xfId="0" applyFont="1" applyBorder="1" applyAlignment="1">
      <alignment horizontal="center" vertical="top"/>
    </xf>
    <xf numFmtId="0" fontId="116" fillId="5" borderId="106" xfId="0" applyFont="1" applyFill="1" applyBorder="1" applyAlignment="1">
      <alignment horizontal="left" vertical="top" wrapText="1"/>
    </xf>
    <xf numFmtId="0" fontId="14" fillId="0" borderId="106" xfId="0" applyFont="1" applyBorder="1" applyAlignment="1">
      <alignment horizontal="center" vertical="center"/>
    </xf>
    <xf numFmtId="0" fontId="117" fillId="5" borderId="106" xfId="0" applyFont="1" applyFill="1" applyBorder="1" applyAlignment="1">
      <alignment horizontal="left" vertical="top" wrapText="1"/>
    </xf>
    <xf numFmtId="0" fontId="119" fillId="0" borderId="106" xfId="0" applyFont="1" applyBorder="1" applyAlignment="1">
      <alignment horizontal="left" vertical="top" wrapText="1"/>
    </xf>
    <xf numFmtId="0" fontId="115" fillId="3" borderId="1" xfId="0" applyFont="1" applyFill="1" applyBorder="1" applyAlignment="1">
      <alignment horizontal="left" vertical="center" wrapText="1"/>
    </xf>
    <xf numFmtId="0" fontId="115" fillId="3" borderId="2" xfId="0" applyFont="1" applyFill="1" applyBorder="1" applyAlignment="1">
      <alignment horizontal="left" vertical="center" wrapText="1"/>
    </xf>
    <xf numFmtId="0" fontId="115" fillId="3" borderId="3" xfId="0" applyFont="1" applyFill="1" applyBorder="1" applyAlignment="1">
      <alignment horizontal="left" vertical="center" wrapText="1"/>
    </xf>
    <xf numFmtId="0" fontId="117" fillId="0" borderId="106" xfId="0" applyFont="1" applyBorder="1" applyAlignment="1">
      <alignment horizontal="left" vertical="top" wrapText="1"/>
    </xf>
    <xf numFmtId="9" fontId="70" fillId="5" borderId="78" xfId="2" applyFont="1" applyFill="1" applyBorder="1" applyAlignment="1">
      <alignment horizontal="center" vertical="center" wrapText="1"/>
    </xf>
    <xf numFmtId="0" fontId="17" fillId="4" borderId="148" xfId="0" applyFont="1" applyFill="1" applyBorder="1" applyAlignment="1">
      <alignment horizontal="center" vertical="center"/>
    </xf>
    <xf numFmtId="0" fontId="17" fillId="4" borderId="148" xfId="0" applyFont="1" applyFill="1" applyBorder="1" applyAlignment="1">
      <alignment horizontal="left" vertical="center" wrapText="1"/>
    </xf>
    <xf numFmtId="0" fontId="17" fillId="4" borderId="137" xfId="0" applyFont="1" applyFill="1" applyBorder="1" applyAlignment="1">
      <alignment horizontal="left" vertical="center" wrapText="1"/>
    </xf>
    <xf numFmtId="0" fontId="17" fillId="4" borderId="137" xfId="0" applyFont="1" applyFill="1" applyBorder="1" applyAlignment="1">
      <alignment horizontal="center" vertical="center" wrapText="1"/>
    </xf>
    <xf numFmtId="9" fontId="17" fillId="4" borderId="137" xfId="0" applyNumberFormat="1" applyFont="1" applyFill="1" applyBorder="1" applyAlignment="1">
      <alignment horizontal="center" vertical="center" wrapText="1"/>
    </xf>
    <xf numFmtId="0" fontId="17" fillId="4" borderId="133" xfId="0" applyFont="1" applyFill="1" applyBorder="1" applyAlignment="1">
      <alignment horizontal="center" vertical="center"/>
    </xf>
    <xf numFmtId="0" fontId="17" fillId="4" borderId="133" xfId="0" applyFont="1" applyFill="1" applyBorder="1" applyAlignment="1">
      <alignment horizontal="left" vertical="center" wrapText="1"/>
    </xf>
    <xf numFmtId="3" fontId="17" fillId="4" borderId="137" xfId="0" applyNumberFormat="1" applyFont="1" applyFill="1" applyBorder="1" applyAlignment="1">
      <alignment horizontal="center" vertical="center" wrapText="1"/>
    </xf>
    <xf numFmtId="0" fontId="17" fillId="4" borderId="137" xfId="0" applyFont="1" applyFill="1" applyBorder="1" applyAlignment="1">
      <alignment vertical="center" wrapText="1"/>
    </xf>
    <xf numFmtId="0" fontId="17" fillId="4" borderId="137" xfId="0" applyFont="1" applyFill="1" applyBorder="1" applyAlignment="1">
      <alignment horizontal="right" vertical="center" wrapText="1"/>
    </xf>
    <xf numFmtId="165" fontId="17" fillId="4" borderId="137" xfId="2" applyNumberFormat="1" applyFont="1" applyFill="1" applyBorder="1" applyAlignment="1">
      <alignment horizontal="right" vertical="center" wrapText="1"/>
    </xf>
    <xf numFmtId="0" fontId="17" fillId="4" borderId="65" xfId="0" applyFont="1" applyFill="1" applyBorder="1" applyAlignment="1">
      <alignment horizontal="center" vertical="center"/>
    </xf>
    <xf numFmtId="0" fontId="17" fillId="4" borderId="65" xfId="0" applyFont="1" applyFill="1" applyBorder="1" applyAlignment="1">
      <alignment horizontal="left" vertical="center" wrapText="1"/>
    </xf>
    <xf numFmtId="0" fontId="107" fillId="0" borderId="77" xfId="0" applyFont="1" applyBorder="1" applyAlignment="1">
      <alignment vertical="top" wrapText="1"/>
    </xf>
    <xf numFmtId="0" fontId="105" fillId="0" borderId="77" xfId="0" applyFont="1" applyBorder="1" applyAlignment="1">
      <alignment vertical="center" wrapText="1"/>
    </xf>
    <xf numFmtId="0" fontId="7" fillId="46" borderId="137" xfId="0" applyFont="1" applyFill="1" applyBorder="1" applyAlignment="1">
      <alignment vertical="center"/>
    </xf>
    <xf numFmtId="0" fontId="7" fillId="46" borderId="137" xfId="0" applyFont="1" applyFill="1" applyBorder="1" applyAlignment="1">
      <alignment horizontal="left" vertical="center" wrapText="1"/>
    </xf>
    <xf numFmtId="0" fontId="7" fillId="46" borderId="137" xfId="0" applyFont="1" applyFill="1" applyBorder="1" applyAlignment="1">
      <alignment vertical="center" wrapText="1"/>
    </xf>
    <xf numFmtId="9" fontId="17" fillId="46" borderId="137" xfId="2" applyFont="1" applyFill="1" applyBorder="1" applyAlignment="1">
      <alignment horizontal="center" vertical="center" wrapText="1"/>
    </xf>
    <xf numFmtId="0" fontId="36" fillId="8" borderId="5" xfId="0" applyFont="1" applyFill="1" applyBorder="1" applyAlignment="1">
      <alignment horizontal="left" vertical="center" wrapText="1"/>
    </xf>
    <xf numFmtId="9" fontId="17" fillId="4" borderId="137" xfId="0" applyNumberFormat="1" applyFont="1" applyFill="1" applyBorder="1" applyAlignment="1">
      <alignment horizontal="left" vertical="center" wrapText="1"/>
    </xf>
    <xf numFmtId="9" fontId="36" fillId="8" borderId="3" xfId="0" applyNumberFormat="1" applyFont="1" applyFill="1" applyBorder="1" applyAlignment="1">
      <alignment horizontal="left" vertical="center" wrapText="1"/>
    </xf>
    <xf numFmtId="0" fontId="36" fillId="8" borderId="3" xfId="0" applyFont="1" applyFill="1" applyBorder="1" applyAlignment="1">
      <alignment horizontal="left" vertical="center" wrapText="1"/>
    </xf>
    <xf numFmtId="0" fontId="7" fillId="0" borderId="105" xfId="0" applyFont="1" applyBorder="1" applyAlignment="1">
      <alignment horizontal="left" vertical="top" wrapText="1"/>
    </xf>
    <xf numFmtId="9" fontId="7" fillId="0" borderId="105" xfId="0" applyNumberFormat="1" applyFont="1" applyBorder="1" applyAlignment="1">
      <alignment horizontal="center" vertical="top"/>
    </xf>
    <xf numFmtId="0" fontId="36" fillId="8" borderId="2" xfId="0" applyFont="1" applyFill="1" applyBorder="1" applyAlignment="1">
      <alignment horizontal="left" vertical="center" wrapText="1"/>
    </xf>
    <xf numFmtId="165" fontId="36" fillId="8" borderId="3" xfId="0" applyNumberFormat="1" applyFont="1" applyFill="1" applyBorder="1" applyAlignment="1">
      <alignment horizontal="left" vertical="center" wrapText="1"/>
    </xf>
    <xf numFmtId="0" fontId="17" fillId="0" borderId="0" xfId="0" applyFont="1" applyBorder="1" applyAlignment="1">
      <alignment horizontal="center" vertical="center"/>
    </xf>
    <xf numFmtId="0" fontId="17" fillId="5" borderId="0" xfId="0" applyFont="1" applyFill="1" applyBorder="1" applyAlignment="1">
      <alignment horizontal="left" vertical="center" wrapText="1"/>
    </xf>
    <xf numFmtId="0" fontId="17" fillId="5" borderId="0" xfId="0" applyFont="1" applyFill="1" applyBorder="1" applyAlignment="1">
      <alignment horizontal="center" vertical="center" wrapText="1"/>
    </xf>
    <xf numFmtId="0" fontId="17" fillId="5" borderId="0" xfId="0" applyFont="1" applyFill="1" applyBorder="1" applyAlignment="1">
      <alignment vertical="center" wrapText="1"/>
    </xf>
    <xf numFmtId="165" fontId="17" fillId="5" borderId="0" xfId="2" applyNumberFormat="1" applyFont="1" applyFill="1" applyBorder="1" applyAlignment="1">
      <alignment vertical="center" wrapText="1"/>
    </xf>
    <xf numFmtId="9" fontId="17" fillId="5" borderId="0" xfId="0" applyNumberFormat="1" applyFont="1" applyFill="1" applyBorder="1" applyAlignment="1">
      <alignment horizontal="left" vertical="center" wrapText="1"/>
    </xf>
    <xf numFmtId="9" fontId="7" fillId="46" borderId="137" xfId="2" applyFont="1" applyFill="1" applyBorder="1" applyAlignment="1">
      <alignment horizontal="left" wrapText="1"/>
    </xf>
    <xf numFmtId="9" fontId="17" fillId="5" borderId="137" xfId="0" applyNumberFormat="1" applyFont="1" applyFill="1" applyBorder="1" applyAlignment="1">
      <alignment vertical="center" wrapText="1"/>
    </xf>
    <xf numFmtId="9" fontId="6" fillId="46" borderId="137" xfId="2" applyFont="1" applyFill="1" applyBorder="1" applyAlignment="1">
      <alignment horizontal="center" vertical="center" wrapText="1"/>
    </xf>
    <xf numFmtId="0" fontId="7" fillId="46" borderId="137" xfId="0" applyFont="1" applyFill="1" applyBorder="1" applyAlignment="1">
      <alignment horizontal="center" vertical="center"/>
    </xf>
    <xf numFmtId="0" fontId="7" fillId="0" borderId="8" xfId="0" applyFont="1" applyBorder="1" applyAlignment="1">
      <alignment horizontal="center" vertical="center"/>
    </xf>
    <xf numFmtId="9" fontId="17" fillId="5" borderId="8" xfId="2" applyFont="1" applyFill="1" applyBorder="1" applyAlignment="1">
      <alignment horizontal="center" vertical="center" wrapText="1"/>
    </xf>
    <xf numFmtId="0" fontId="7" fillId="0" borderId="8" xfId="0" applyFont="1" applyBorder="1" applyAlignment="1">
      <alignment horizontal="left" vertical="center" wrapText="1"/>
    </xf>
    <xf numFmtId="165" fontId="131" fillId="0" borderId="0" xfId="0" applyNumberFormat="1" applyFont="1" applyAlignment="1">
      <alignment horizontal="center" vertical="center" wrapText="1"/>
    </xf>
    <xf numFmtId="165" fontId="131" fillId="0" borderId="0" xfId="2" applyNumberFormat="1" applyFont="1" applyAlignment="1">
      <alignment horizontal="center" vertical="center" wrapText="1"/>
    </xf>
    <xf numFmtId="9" fontId="131" fillId="0" borderId="0" xfId="0" applyNumberFormat="1" applyFont="1" applyAlignment="1">
      <alignment horizontal="center" vertical="center" wrapText="1"/>
    </xf>
    <xf numFmtId="9" fontId="131" fillId="5" borderId="0" xfId="0" applyNumberFormat="1" applyFont="1" applyFill="1" applyAlignment="1">
      <alignment horizontal="center" vertical="center" wrapText="1"/>
    </xf>
    <xf numFmtId="9" fontId="131" fillId="0" borderId="0" xfId="2" applyFont="1" applyAlignment="1">
      <alignment horizontal="center" vertical="center"/>
    </xf>
    <xf numFmtId="165" fontId="131" fillId="0" borderId="0" xfId="2" applyNumberFormat="1" applyFont="1" applyAlignment="1">
      <alignment horizontal="center" vertical="center"/>
    </xf>
    <xf numFmtId="165" fontId="131" fillId="39" borderId="118" xfId="2" applyNumberFormat="1" applyFont="1" applyFill="1" applyBorder="1" applyAlignment="1">
      <alignment horizontal="center" vertical="center" wrapText="1"/>
    </xf>
    <xf numFmtId="165" fontId="131" fillId="0" borderId="0" xfId="2" applyNumberFormat="1" applyFont="1" applyBorder="1" applyAlignment="1">
      <alignment horizontal="center" vertical="center"/>
    </xf>
    <xf numFmtId="165" fontId="131" fillId="9" borderId="118" xfId="0" applyNumberFormat="1" applyFont="1" applyFill="1" applyBorder="1" applyAlignment="1">
      <alignment horizontal="center" vertical="center"/>
    </xf>
    <xf numFmtId="165" fontId="69" fillId="0" borderId="0" xfId="2" applyNumberFormat="1" applyFont="1" applyBorder="1" applyAlignment="1">
      <alignment horizontal="center" vertical="center" wrapText="1"/>
    </xf>
    <xf numFmtId="9" fontId="131" fillId="0" borderId="0" xfId="0" applyNumberFormat="1" applyFont="1" applyAlignment="1">
      <alignment horizontal="center" vertical="center"/>
    </xf>
    <xf numFmtId="9" fontId="131" fillId="45" borderId="118" xfId="2" applyFont="1" applyFill="1" applyBorder="1" applyAlignment="1">
      <alignment horizontal="center" vertical="center"/>
    </xf>
    <xf numFmtId="165" fontId="131" fillId="0" borderId="0" xfId="0" applyNumberFormat="1" applyFont="1" applyAlignment="1">
      <alignment horizontal="center" vertical="center"/>
    </xf>
    <xf numFmtId="165" fontId="125" fillId="45" borderId="118" xfId="0" applyNumberFormat="1" applyFont="1" applyFill="1" applyBorder="1" applyAlignment="1">
      <alignment horizontal="center" vertical="center"/>
    </xf>
    <xf numFmtId="9" fontId="125" fillId="39" borderId="118" xfId="2" applyFont="1" applyFill="1" applyBorder="1" applyAlignment="1">
      <alignment horizontal="center" vertical="center"/>
    </xf>
    <xf numFmtId="165" fontId="125" fillId="39" borderId="118" xfId="2" applyNumberFormat="1" applyFont="1" applyFill="1" applyBorder="1" applyAlignment="1">
      <alignment horizontal="center" vertical="center"/>
    </xf>
    <xf numFmtId="165" fontId="25" fillId="0" borderId="0" xfId="2" applyNumberFormat="1" applyFont="1" applyAlignment="1">
      <alignment horizontal="center" vertical="center" wrapText="1"/>
    </xf>
    <xf numFmtId="165" fontId="25" fillId="0" borderId="0" xfId="0" applyNumberFormat="1" applyFont="1" applyAlignment="1">
      <alignment horizontal="center" vertical="center" wrapText="1"/>
    </xf>
    <xf numFmtId="165" fontId="58" fillId="39" borderId="118" xfId="2" applyNumberFormat="1" applyFont="1" applyFill="1" applyBorder="1" applyAlignment="1">
      <alignment horizontal="center" vertical="center" wrapText="1"/>
    </xf>
    <xf numFmtId="9" fontId="125" fillId="9" borderId="118" xfId="0" applyNumberFormat="1" applyFont="1" applyFill="1" applyBorder="1" applyAlignment="1">
      <alignment horizontal="center" vertical="center" wrapText="1"/>
    </xf>
    <xf numFmtId="165" fontId="131" fillId="38" borderId="0" xfId="0" applyNumberFormat="1" applyFont="1" applyFill="1" applyAlignment="1">
      <alignment horizontal="center" vertical="center" wrapText="1"/>
    </xf>
    <xf numFmtId="165" fontId="125" fillId="9" borderId="148" xfId="0" applyNumberFormat="1" applyFont="1" applyFill="1" applyBorder="1" applyAlignment="1">
      <alignment horizontal="center" vertical="center" wrapText="1"/>
    </xf>
    <xf numFmtId="9" fontId="131" fillId="0" borderId="0" xfId="2" applyFont="1" applyBorder="1" applyAlignment="1">
      <alignment horizontal="center" vertical="center"/>
    </xf>
    <xf numFmtId="9" fontId="52" fillId="0" borderId="0" xfId="2" applyFont="1" applyBorder="1" applyAlignment="1">
      <alignment horizontal="center" vertical="center"/>
    </xf>
    <xf numFmtId="9" fontId="52" fillId="38" borderId="0" xfId="2" applyFont="1" applyFill="1" applyBorder="1" applyAlignment="1">
      <alignment horizontal="center" vertical="center"/>
    </xf>
    <xf numFmtId="9" fontId="52" fillId="9" borderId="121" xfId="0" applyNumberFormat="1" applyFont="1" applyFill="1" applyBorder="1" applyAlignment="1">
      <alignment horizontal="center" vertical="center"/>
    </xf>
    <xf numFmtId="9" fontId="131" fillId="9" borderId="118" xfId="2" applyNumberFormat="1" applyFont="1" applyFill="1" applyBorder="1" applyAlignment="1">
      <alignment horizontal="center" vertical="center" wrapText="1"/>
    </xf>
    <xf numFmtId="0" fontId="58" fillId="30" borderId="156" xfId="0" applyFont="1" applyFill="1" applyBorder="1" applyAlignment="1">
      <alignment horizontal="center" vertical="center" wrapText="1"/>
    </xf>
    <xf numFmtId="0" fontId="58" fillId="30" borderId="138" xfId="0" applyFont="1" applyFill="1" applyBorder="1" applyAlignment="1">
      <alignment horizontal="center" vertical="center"/>
    </xf>
    <xf numFmtId="0" fontId="58" fillId="30" borderId="139" xfId="0" applyFont="1" applyFill="1" applyBorder="1" applyAlignment="1">
      <alignment horizontal="center" vertical="center"/>
    </xf>
    <xf numFmtId="0" fontId="58" fillId="30" borderId="151" xfId="0" applyFont="1" applyFill="1" applyBorder="1" applyAlignment="1">
      <alignment horizontal="center" vertical="center"/>
    </xf>
    <xf numFmtId="0" fontId="58" fillId="30" borderId="133" xfId="0" applyFont="1" applyFill="1" applyBorder="1" applyAlignment="1">
      <alignment horizontal="center" vertical="center" wrapText="1"/>
    </xf>
    <xf numFmtId="167" fontId="58" fillId="30" borderId="148" xfId="0" applyNumberFormat="1" applyFont="1" applyFill="1" applyBorder="1" applyAlignment="1">
      <alignment horizontal="center" vertical="center" wrapText="1"/>
    </xf>
    <xf numFmtId="167" fontId="58" fillId="30" borderId="133" xfId="0" applyNumberFormat="1" applyFont="1" applyFill="1" applyBorder="1" applyAlignment="1">
      <alignment horizontal="center" vertical="center" wrapText="1"/>
    </xf>
    <xf numFmtId="167" fontId="58" fillId="30" borderId="65" xfId="0" applyNumberFormat="1" applyFont="1" applyFill="1" applyBorder="1" applyAlignment="1">
      <alignment horizontal="center" vertical="center" wrapText="1"/>
    </xf>
    <xf numFmtId="0" fontId="58" fillId="10" borderId="148" xfId="0" applyFont="1" applyFill="1" applyBorder="1" applyAlignment="1">
      <alignment horizontal="center" vertical="center" wrapText="1"/>
    </xf>
    <xf numFmtId="0" fontId="58" fillId="10" borderId="133" xfId="0" applyFont="1" applyFill="1" applyBorder="1" applyAlignment="1">
      <alignment horizontal="center" vertical="center" wrapText="1"/>
    </xf>
    <xf numFmtId="0" fontId="58" fillId="10" borderId="65" xfId="0" applyFont="1" applyFill="1" applyBorder="1" applyAlignment="1">
      <alignment horizontal="center" vertical="center" wrapText="1"/>
    </xf>
    <xf numFmtId="167" fontId="37" fillId="4" borderId="5" xfId="1" applyNumberFormat="1" applyFont="1" applyFill="1" applyBorder="1" applyAlignment="1">
      <alignment horizontal="center" vertical="center" wrapText="1"/>
    </xf>
    <xf numFmtId="167" fontId="38" fillId="5" borderId="8" xfId="1" applyNumberFormat="1" applyFont="1" applyFill="1" applyBorder="1" applyAlignment="1">
      <alignment horizontal="center" vertical="top" wrapText="1"/>
    </xf>
    <xf numFmtId="167" fontId="38" fillId="5" borderId="10" xfId="1" applyNumberFormat="1" applyFont="1" applyFill="1" applyBorder="1" applyAlignment="1">
      <alignment horizontal="center" vertical="center" wrapText="1"/>
    </xf>
    <xf numFmtId="167" fontId="122" fillId="12" borderId="6" xfId="1" applyNumberFormat="1" applyFont="1" applyFill="1" applyBorder="1" applyAlignment="1">
      <alignment horizontal="center" vertical="top" wrapText="1"/>
    </xf>
    <xf numFmtId="167" fontId="0" fillId="0" borderId="0" xfId="1" applyNumberFormat="1" applyFont="1"/>
    <xf numFmtId="9" fontId="131" fillId="39" borderId="118" xfId="0" applyNumberFormat="1" applyFont="1" applyFill="1" applyBorder="1" applyAlignment="1">
      <alignment horizontal="center" vertical="center"/>
    </xf>
    <xf numFmtId="9" fontId="131" fillId="0" borderId="0" xfId="2" applyNumberFormat="1" applyFont="1" applyAlignment="1">
      <alignment horizontal="center" vertical="center"/>
    </xf>
    <xf numFmtId="9" fontId="131" fillId="39" borderId="118" xfId="2" applyNumberFormat="1" applyFont="1" applyFill="1" applyBorder="1" applyAlignment="1">
      <alignment horizontal="center" vertical="center" wrapText="1"/>
    </xf>
    <xf numFmtId="9" fontId="131" fillId="30" borderId="0" xfId="0" applyNumberFormat="1" applyFont="1" applyFill="1" applyAlignment="1">
      <alignment horizontal="center" vertical="center" wrapText="1"/>
    </xf>
    <xf numFmtId="9" fontId="131" fillId="10" borderId="0" xfId="0" applyNumberFormat="1" applyFont="1" applyFill="1" applyAlignment="1">
      <alignment horizontal="center" vertical="center"/>
    </xf>
    <xf numFmtId="9" fontId="131" fillId="10" borderId="0" xfId="2" applyNumberFormat="1" applyFont="1" applyFill="1" applyAlignment="1">
      <alignment horizontal="center" vertical="center" wrapText="1"/>
    </xf>
    <xf numFmtId="9" fontId="131" fillId="39" borderId="118" xfId="2" applyNumberFormat="1" applyFont="1" applyFill="1" applyBorder="1" applyAlignment="1">
      <alignment horizontal="center" vertical="center"/>
    </xf>
    <xf numFmtId="9" fontId="131" fillId="0" borderId="0" xfId="2" applyNumberFormat="1" applyFont="1" applyAlignment="1">
      <alignment horizontal="center" vertical="center" wrapText="1"/>
    </xf>
    <xf numFmtId="9" fontId="131" fillId="39" borderId="153" xfId="0" applyNumberFormat="1" applyFont="1" applyFill="1" applyBorder="1" applyAlignment="1">
      <alignment horizontal="center" vertical="center"/>
    </xf>
    <xf numFmtId="9" fontId="131" fillId="0" borderId="0" xfId="2" applyNumberFormat="1" applyFont="1" applyBorder="1" applyAlignment="1">
      <alignment horizontal="center" vertical="center"/>
    </xf>
    <xf numFmtId="9" fontId="78" fillId="0" borderId="3" xfId="0" applyNumberFormat="1" applyFont="1" applyBorder="1" applyAlignment="1">
      <alignment vertical="center" wrapText="1"/>
    </xf>
    <xf numFmtId="9" fontId="32" fillId="0" borderId="14" xfId="0" applyNumberFormat="1" applyFont="1" applyBorder="1" applyAlignment="1">
      <alignment horizontal="left" vertical="center" wrapText="1"/>
    </xf>
    <xf numFmtId="9" fontId="8" fillId="0" borderId="14" xfId="0" applyNumberFormat="1" applyFont="1" applyBorder="1" applyAlignment="1">
      <alignment horizontal="left" vertical="top" wrapText="1"/>
    </xf>
    <xf numFmtId="9" fontId="4" fillId="0" borderId="14" xfId="0" applyNumberFormat="1" applyFont="1" applyBorder="1" applyAlignment="1">
      <alignment vertical="center" wrapText="1"/>
    </xf>
    <xf numFmtId="9" fontId="125" fillId="39" borderId="118" xfId="0" applyNumberFormat="1" applyFont="1" applyFill="1" applyBorder="1" applyAlignment="1">
      <alignment horizontal="center" vertical="center"/>
    </xf>
    <xf numFmtId="0" fontId="152" fillId="37" borderId="118" xfId="0" applyFont="1" applyFill="1" applyBorder="1" applyAlignment="1">
      <alignment horizontal="left" vertical="top"/>
    </xf>
    <xf numFmtId="167" fontId="152" fillId="37" borderId="118" xfId="0" applyNumberFormat="1" applyFont="1" applyFill="1" applyBorder="1" applyAlignment="1">
      <alignment horizontal="center" vertical="center"/>
    </xf>
    <xf numFmtId="9" fontId="152" fillId="37" borderId="118" xfId="2" applyFont="1" applyFill="1" applyBorder="1" applyAlignment="1">
      <alignment horizontal="center" vertical="center"/>
    </xf>
    <xf numFmtId="167" fontId="152" fillId="0" borderId="0" xfId="0" applyNumberFormat="1" applyFont="1" applyAlignment="1">
      <alignment vertical="center"/>
    </xf>
    <xf numFmtId="41" fontId="152" fillId="0" borderId="0" xfId="0" applyNumberFormat="1" applyFont="1" applyAlignment="1">
      <alignment vertical="center"/>
    </xf>
    <xf numFmtId="167" fontId="152" fillId="37" borderId="118" xfId="0" applyNumberFormat="1" applyFont="1" applyFill="1" applyBorder="1" applyAlignment="1">
      <alignment vertical="center"/>
    </xf>
    <xf numFmtId="167" fontId="152" fillId="0" borderId="0" xfId="0" applyNumberFormat="1" applyFont="1" applyAlignment="1">
      <alignment horizontal="center" vertical="center"/>
    </xf>
    <xf numFmtId="9" fontId="152" fillId="0" borderId="0" xfId="2" applyFont="1" applyAlignment="1">
      <alignment horizontal="center" vertical="center"/>
    </xf>
    <xf numFmtId="167" fontId="154" fillId="0" borderId="0" xfId="0" applyNumberFormat="1" applyFont="1" applyAlignment="1">
      <alignment horizontal="center" vertical="center"/>
    </xf>
    <xf numFmtId="0" fontId="154" fillId="0" borderId="0" xfId="0" applyFont="1" applyAlignment="1">
      <alignment horizontal="center" vertical="center"/>
    </xf>
    <xf numFmtId="41" fontId="154" fillId="0" borderId="0" xfId="0" applyNumberFormat="1" applyFont="1" applyAlignment="1">
      <alignment horizontal="center" vertical="center"/>
    </xf>
    <xf numFmtId="0" fontId="0" fillId="0" borderId="0" xfId="0" applyAlignment="1">
      <alignment horizontal="center" vertical="center"/>
    </xf>
    <xf numFmtId="3" fontId="0" fillId="12" borderId="6" xfId="0" applyNumberFormat="1" applyFill="1" applyBorder="1" applyAlignment="1">
      <alignment horizontal="center" vertical="top"/>
    </xf>
    <xf numFmtId="3" fontId="3" fillId="12" borderId="6" xfId="0" applyNumberFormat="1" applyFont="1" applyFill="1" applyBorder="1" applyAlignment="1">
      <alignment horizontal="center" vertical="top"/>
    </xf>
    <xf numFmtId="9" fontId="0" fillId="12" borderId="6" xfId="0" applyNumberFormat="1" applyFill="1" applyBorder="1" applyAlignment="1">
      <alignment horizontal="center" vertical="top"/>
    </xf>
    <xf numFmtId="9" fontId="0" fillId="12" borderId="133" xfId="0" applyNumberFormat="1" applyFill="1" applyBorder="1" applyAlignment="1">
      <alignment horizontal="center" vertical="top"/>
    </xf>
    <xf numFmtId="0" fontId="0" fillId="12" borderId="6" xfId="0" applyFill="1" applyBorder="1" applyAlignment="1">
      <alignment vertical="top"/>
    </xf>
    <xf numFmtId="0" fontId="0" fillId="12" borderId="6" xfId="0" applyFill="1" applyBorder="1" applyAlignment="1">
      <alignment wrapText="1"/>
    </xf>
    <xf numFmtId="0" fontId="42" fillId="12" borderId="6" xfId="0" applyFont="1" applyFill="1" applyBorder="1" applyAlignment="1">
      <alignment vertical="top" wrapText="1"/>
    </xf>
  </cellXfs>
  <cellStyles count="5">
    <cellStyle name="Comma" xfId="1" builtinId="3"/>
    <cellStyle name="Hyperlink" xfId="3" builtinId="8"/>
    <cellStyle name="Normal" xfId="0" builtinId="0"/>
    <cellStyle name="Normal 2" xfId="4" xr:uid="{2C95FAE9-7E9A-4529-B826-BB9F7D090B6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All MDAs / Sectors - Overall Performance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lotArea>
      <c:layout>
        <c:manualLayout>
          <c:layoutTarget val="inner"/>
          <c:xMode val="edge"/>
          <c:yMode val="edge"/>
          <c:x val="0.20708092738407702"/>
          <c:y val="0.28680555555555554"/>
          <c:w val="0.73771084864391956"/>
          <c:h val="0.59653579760863229"/>
        </c:manualLayout>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'Overall Summary'!$E$28:$K$28</c:f>
              <c:numCache>
                <c:formatCode>_(* #,##0_);_(* \(#,##0\);_(* "-"_);_(@_)</c:formatCode>
                <c:ptCount val="7"/>
              </c:numCache>
            </c:numRef>
          </c:cat>
          <c:val>
            <c:numRef>
              <c:f>'Overall Summary'!$E$29:$K$29</c:f>
              <c:numCache>
                <c:formatCode>_(* #,##0_);_(* \(#,##0\);_(* "-"_);_(@_)</c:formatCode>
                <c:ptCount val="7"/>
                <c:pt idx="0">
                  <c:v>532</c:v>
                </c:pt>
                <c:pt idx="1">
                  <c:v>105</c:v>
                </c:pt>
                <c:pt idx="2">
                  <c:v>171</c:v>
                </c:pt>
                <c:pt idx="3">
                  <c:v>24</c:v>
                </c:pt>
                <c:pt idx="4">
                  <c:v>59</c:v>
                </c:pt>
                <c:pt idx="5">
                  <c:v>132</c:v>
                </c:pt>
                <c:pt idx="6">
                  <c:v>41</c:v>
                </c:pt>
              </c:numCache>
            </c:numRef>
          </c:val>
          <c:extLst>
            <c:ext xmlns:c16="http://schemas.microsoft.com/office/drawing/2014/chart" uri="{C3380CC4-5D6E-409C-BE32-E72D297353CC}">
              <c16:uniqueId val="{00000000-58D7-4926-95C0-3C767AEEB38B}"/>
            </c:ext>
          </c:extLst>
        </c:ser>
        <c:dLbls>
          <c:dLblPos val="inEnd"/>
          <c:showLegendKey val="0"/>
          <c:showVal val="1"/>
          <c:showCatName val="0"/>
          <c:showSerName val="0"/>
          <c:showPercent val="0"/>
          <c:showBubbleSize val="0"/>
        </c:dLbls>
        <c:gapWidth val="65"/>
        <c:axId val="876284367"/>
        <c:axId val="876283407"/>
      </c:barChart>
      <c:catAx>
        <c:axId val="876284367"/>
        <c:scaling>
          <c:orientation val="minMax"/>
        </c:scaling>
        <c:delete val="0"/>
        <c:axPos val="l"/>
        <c:numFmt formatCode="_(* #,##0_);_(* \(#,##0\);_(* &quot;-&quot;_);_(@_)"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876283407"/>
        <c:crosses val="autoZero"/>
        <c:auto val="1"/>
        <c:lblAlgn val="ctr"/>
        <c:lblOffset val="100"/>
        <c:noMultiLvlLbl val="0"/>
      </c:catAx>
      <c:valAx>
        <c:axId val="876283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87628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2949575</xdr:colOff>
      <xdr:row>38</xdr:row>
      <xdr:rowOff>73025</xdr:rowOff>
    </xdr:from>
    <xdr:to>
      <xdr:col>9</xdr:col>
      <xdr:colOff>314325</xdr:colOff>
      <xdr:row>53</xdr:row>
      <xdr:rowOff>53975</xdr:rowOff>
    </xdr:to>
    <xdr:graphicFrame macro="">
      <xdr:nvGraphicFramePr>
        <xdr:cNvPr id="8" name="Chart 7">
          <a:extLst>
            <a:ext uri="{FF2B5EF4-FFF2-40B4-BE49-F238E27FC236}">
              <a16:creationId xmlns:a16="http://schemas.microsoft.com/office/drawing/2014/main" id="{A0DC8E9A-0F80-DEB1-704B-922022609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2016/Desktop/My%20Own%20Documents/Dell%20Transfer/My%20Dell%20Documents/2.%20PPS/Retreat/Delivery%20Unit/Report%20No_1/Overall%20Grand%20Summary_Revised%20and%20Updated.xlsb.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arun\Desktop\June%205%202025\My%20Own%20Documents\Dell%20Transfer\My%20Dell%20Documents\2.%20PPS\Retreat\Delivery%20Unit\Report%20No_2\All%20Sectors%20MDAs_Full%20Year%20Assessment.xlsx" TargetMode="External"/><Relationship Id="rId1" Type="http://schemas.openxmlformats.org/officeDocument/2006/relationships/externalLinkPath" Target="All%20Sectors%20MDAs_Full%20Year%20Assess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Grand Summary"/>
      <sheetName val="MDA_Sector Summary"/>
      <sheetName val="Sheet1"/>
    </sheetNames>
    <sheetDataSet>
      <sheetData sheetId="0">
        <row r="24">
          <cell r="F24">
            <v>0.43781040100250629</v>
          </cell>
        </row>
      </sheetData>
      <sheetData sheetId="1">
        <row r="8">
          <cell r="D8">
            <v>20</v>
          </cell>
        </row>
        <row r="43">
          <cell r="C43">
            <v>31</v>
          </cell>
          <cell r="D43">
            <v>47</v>
          </cell>
        </row>
        <row r="82">
          <cell r="C82">
            <v>10</v>
          </cell>
        </row>
        <row r="88">
          <cell r="D88">
            <v>20</v>
          </cell>
        </row>
        <row r="94">
          <cell r="D94">
            <v>36</v>
          </cell>
        </row>
        <row r="98">
          <cell r="D98">
            <v>7</v>
          </cell>
        </row>
        <row r="132">
          <cell r="C132">
            <v>4</v>
          </cell>
          <cell r="D132">
            <v>9</v>
          </cell>
        </row>
        <row r="163">
          <cell r="C163">
            <v>8</v>
          </cell>
          <cell r="D163">
            <v>60</v>
          </cell>
        </row>
        <row r="171">
          <cell r="C171">
            <v>6</v>
          </cell>
          <cell r="D171">
            <v>26</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nd Summary-Sector_MDAs+"/>
      <sheetName val="Sector_MDAs Summary-Details"/>
      <sheetName val="1. OHOS"/>
      <sheetName val="2. SSGs Office"/>
      <sheetName val="3. Min. of Special Duties"/>
      <sheetName val="4. Min. of LG"/>
      <sheetName val="5. Min. of Budget"/>
      <sheetName val="6. Min. of Works"/>
      <sheetName val="7. Power"/>
      <sheetName val="8. Min. of Comm"/>
      <sheetName val="9. Min. of Agric"/>
      <sheetName val="10. Min. of Water SS"/>
      <sheetName val="11. Min. of Health"/>
      <sheetName val="12. Min. of Infor"/>
      <sheetName val="13. Min. of Basic Edu"/>
      <sheetName val="14. Min. of Higher Edu"/>
      <sheetName val="15. Empowerment"/>
      <sheetName val="16. JigawaInvest"/>
      <sheetName val="MoF-JIRS"/>
      <sheetName val="18. Min. of Women Affrs"/>
      <sheetName val="19. Min. of Env"/>
      <sheetName val="20. Min. of Land"/>
      <sheetName val="21. MoJustice"/>
    </sheetNames>
    <sheetDataSet>
      <sheetData sheetId="0" refreshError="1"/>
      <sheetData sheetId="1" refreshError="1"/>
      <sheetData sheetId="2">
        <row r="37">
          <cell r="H37">
            <v>0.47801876112810682</v>
          </cell>
        </row>
      </sheetData>
      <sheetData sheetId="3">
        <row r="7">
          <cell r="H7">
            <v>0.83333333333333337</v>
          </cell>
        </row>
      </sheetData>
      <sheetData sheetId="4">
        <row r="28">
          <cell r="I28">
            <v>0.56356925820340453</v>
          </cell>
        </row>
      </sheetData>
      <sheetData sheetId="5">
        <row r="27">
          <cell r="G27">
            <v>0.70145833333333341</v>
          </cell>
        </row>
      </sheetData>
      <sheetData sheetId="6">
        <row r="13">
          <cell r="I13">
            <v>0.61361111111111111</v>
          </cell>
        </row>
        <row r="20">
          <cell r="I20">
            <v>0.33015873015873015</v>
          </cell>
        </row>
        <row r="24">
          <cell r="I24">
            <v>0.85714285714285721</v>
          </cell>
        </row>
        <row r="31">
          <cell r="I31">
            <v>0.75571428571428578</v>
          </cell>
        </row>
        <row r="32">
          <cell r="H32">
            <v>0.5998809523809524</v>
          </cell>
        </row>
      </sheetData>
      <sheetData sheetId="7">
        <row r="16">
          <cell r="I16">
            <v>0.76428571428571423</v>
          </cell>
        </row>
      </sheetData>
      <sheetData sheetId="8">
        <row r="14">
          <cell r="H14">
            <v>0.56083333333333329</v>
          </cell>
        </row>
      </sheetData>
      <sheetData sheetId="9">
        <row r="14">
          <cell r="I14">
            <v>0.56199472728949895</v>
          </cell>
        </row>
      </sheetData>
      <sheetData sheetId="10">
        <row r="16">
          <cell r="I16">
            <v>0.55698529411764708</v>
          </cell>
        </row>
        <row r="22">
          <cell r="I22">
            <v>0.876</v>
          </cell>
        </row>
        <row r="28">
          <cell r="I28">
            <v>0.55869047619047618</v>
          </cell>
        </row>
        <row r="37">
          <cell r="I37">
            <v>0.97401978973407544</v>
          </cell>
        </row>
        <row r="42">
          <cell r="I42">
            <v>0.62051679586563313</v>
          </cell>
        </row>
        <row r="55">
          <cell r="I55">
            <v>0.74942606060606065</v>
          </cell>
        </row>
        <row r="61">
          <cell r="I61">
            <v>0.20833333333333331</v>
          </cell>
        </row>
        <row r="68">
          <cell r="I68">
            <v>0.64786773333333325</v>
          </cell>
        </row>
        <row r="72">
          <cell r="I72">
            <v>0.25</v>
          </cell>
        </row>
        <row r="84">
          <cell r="I84">
            <v>0.75896562097120746</v>
          </cell>
        </row>
        <row r="89">
          <cell r="I89">
            <v>0.41666666666666669</v>
          </cell>
        </row>
        <row r="97">
          <cell r="I97">
            <v>0.48333333333333334</v>
          </cell>
        </row>
        <row r="98">
          <cell r="H98">
            <v>0.64833356692831601</v>
          </cell>
        </row>
      </sheetData>
      <sheetData sheetId="11">
        <row r="34">
          <cell r="I34">
            <v>0.69914789066985372</v>
          </cell>
        </row>
        <row r="40">
          <cell r="I40">
            <v>0.56499999999999995</v>
          </cell>
        </row>
        <row r="48">
          <cell r="I48">
            <v>0.42083333333333339</v>
          </cell>
        </row>
        <row r="49">
          <cell r="H49">
            <v>0.6378568099282278</v>
          </cell>
        </row>
      </sheetData>
      <sheetData sheetId="12">
        <row r="24">
          <cell r="I24">
            <v>0.45321428571428574</v>
          </cell>
        </row>
        <row r="32">
          <cell r="I32">
            <v>0.59333333333333338</v>
          </cell>
        </row>
        <row r="52">
          <cell r="I52">
            <v>0.73216332115074945</v>
          </cell>
        </row>
        <row r="63">
          <cell r="I63">
            <v>0.50089285714285714</v>
          </cell>
        </row>
        <row r="72">
          <cell r="I72">
            <v>0.512280701754386</v>
          </cell>
        </row>
        <row r="80">
          <cell r="I80">
            <v>0.31500000000000006</v>
          </cell>
        </row>
        <row r="81">
          <cell r="H81">
            <v>0.54791493015385651</v>
          </cell>
        </row>
      </sheetData>
      <sheetData sheetId="13">
        <row r="21">
          <cell r="I21">
            <v>0.56666666666666665</v>
          </cell>
        </row>
        <row r="32">
          <cell r="I32">
            <v>0.61342592592592593</v>
          </cell>
        </row>
        <row r="37">
          <cell r="I37">
            <v>0.66666666666666674</v>
          </cell>
        </row>
        <row r="44">
          <cell r="I44">
            <v>0.79962962962962969</v>
          </cell>
        </row>
        <row r="45">
          <cell r="H45">
            <v>0.65038751714677645</v>
          </cell>
        </row>
      </sheetData>
      <sheetData sheetId="14">
        <row r="9">
          <cell r="I9">
            <v>1</v>
          </cell>
        </row>
        <row r="12">
          <cell r="I12">
            <v>1</v>
          </cell>
        </row>
        <row r="16">
          <cell r="I16">
            <v>0.41998525073746312</v>
          </cell>
        </row>
        <row r="22">
          <cell r="I22">
            <v>0.43814999999999998</v>
          </cell>
        </row>
        <row r="25">
          <cell r="I25">
            <v>1.01</v>
          </cell>
        </row>
        <row r="29">
          <cell r="I29">
            <v>2.75E-2</v>
          </cell>
        </row>
        <row r="37">
          <cell r="I37">
            <v>0.90333333333333332</v>
          </cell>
        </row>
        <row r="43">
          <cell r="I43">
            <v>1.01</v>
          </cell>
        </row>
        <row r="44">
          <cell r="H44">
            <v>0.68881950007762771</v>
          </cell>
        </row>
      </sheetData>
      <sheetData sheetId="15">
        <row r="7">
          <cell r="I7">
            <v>1.01</v>
          </cell>
        </row>
        <row r="10">
          <cell r="I10">
            <v>1</v>
          </cell>
        </row>
        <row r="14">
          <cell r="I14">
            <v>0.96227272727272717</v>
          </cell>
        </row>
        <row r="18">
          <cell r="I18">
            <v>1.01</v>
          </cell>
        </row>
        <row r="23">
          <cell r="I23">
            <v>1.0033333333333332</v>
          </cell>
        </row>
        <row r="29">
          <cell r="I29">
            <v>0.98206422018348616</v>
          </cell>
        </row>
        <row r="33">
          <cell r="I33">
            <v>1</v>
          </cell>
        </row>
        <row r="40">
          <cell r="I40">
            <v>0.87799999999999989</v>
          </cell>
        </row>
        <row r="43">
          <cell r="I43">
            <v>1</v>
          </cell>
        </row>
        <row r="46">
          <cell r="I46">
            <v>0.75</v>
          </cell>
        </row>
        <row r="49">
          <cell r="I49">
            <v>0.5</v>
          </cell>
        </row>
        <row r="50">
          <cell r="H50">
            <v>0.93330919705815452</v>
          </cell>
        </row>
      </sheetData>
      <sheetData sheetId="16">
        <row r="34">
          <cell r="H34">
            <v>0.6441030075187969</v>
          </cell>
        </row>
      </sheetData>
      <sheetData sheetId="17">
        <row r="25">
          <cell r="I25">
            <v>0.59422516664621916</v>
          </cell>
        </row>
        <row r="30">
          <cell r="I30">
            <v>1.0066666666666666</v>
          </cell>
        </row>
        <row r="34">
          <cell r="H34">
            <v>0.66296541664962705</v>
          </cell>
        </row>
      </sheetData>
      <sheetData sheetId="18">
        <row r="25">
          <cell r="H25">
            <v>0.86473684210526314</v>
          </cell>
        </row>
      </sheetData>
      <sheetData sheetId="19">
        <row r="10">
          <cell r="I10">
            <v>0.79</v>
          </cell>
        </row>
      </sheetData>
      <sheetData sheetId="20">
        <row r="13">
          <cell r="I13">
            <v>0.81721088435374145</v>
          </cell>
        </row>
      </sheetData>
      <sheetData sheetId="21"/>
      <sheetData sheetId="22">
        <row r="34">
          <cell r="H34">
            <v>0.56943897099069507</v>
          </cell>
        </row>
      </sheetData>
    </sheetDataSet>
  </externalBook>
</externalLink>
</file>

<file path=xl/persons/person.xml><?xml version="1.0" encoding="utf-8"?>
<personList xmlns="http://schemas.microsoft.com/office/spreadsheetml/2018/threadedcomments" xmlns:x="http://schemas.openxmlformats.org/spreadsheetml/2006/main">
  <person displayName="Adamu M. Garun-Gabas" id="{D2E79F65-7F48-4C4A-ACA3-6A96DF2DE132}" userId="18d19f16fb53d996"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4" dT="2025-06-02T17:01:49.57" personId="{D2E79F65-7F48-4C4A-ACA3-6A96DF2DE132}" id="{83607E48-51CE-4B9D-AA66-23C39D776A9A}">
    <text>To provide the actual figure and the list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jigawastate.gov.ng/uploads/Jigawa%20state%20investment%20promotion%20agency%20corporate%20plan.pdf"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land.jg.gov.ng/storage/forms/507M6mUr9BAXndP4qdOOhVv37BaxxnPIuHmby3gm.pdf%20(2%20weeks%20within%20the%20control%20of%20the%20Ministry)" TargetMode="External"/><Relationship Id="rId1" Type="http://schemas.openxmlformats.org/officeDocument/2006/relationships/hyperlink" Target="https://land.jg.gov.ng/storage/forms/507M6mUr9BAXndP4qdOOhVv37BaxxnPIuHmby3gm.pdf%20(2%20weeks%20is%20within%20the%20control%20of%20the%20Ministry%20but%20thereafter%20it%20depends%20on%20the%20Signing%20of%20HE%20at%20his%20descretion)"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8E80-ECAE-4505-BA0C-394F033575CA}">
  <dimension ref="A1:N42"/>
  <sheetViews>
    <sheetView topLeftCell="A16" zoomScaleNormal="100" workbookViewId="0">
      <selection activeCell="B28" sqref="B28"/>
    </sheetView>
  </sheetViews>
  <sheetFormatPr defaultRowHeight="14.5" x14ac:dyDescent="0.35"/>
  <cols>
    <col min="1" max="1" width="6" customWidth="1"/>
    <col min="2" max="2" width="46.7265625" customWidth="1"/>
    <col min="3" max="3" width="10.6328125" customWidth="1"/>
    <col min="4" max="4" width="9.7265625" customWidth="1"/>
    <col min="5" max="5" width="7.453125" customWidth="1"/>
    <col min="6" max="6" width="9.90625" customWidth="1"/>
    <col min="7" max="8" width="9.453125" customWidth="1"/>
    <col min="9" max="9" width="10.453125" customWidth="1"/>
    <col min="10" max="11" width="9.6328125" customWidth="1"/>
    <col min="12" max="12" width="10.453125" customWidth="1"/>
    <col min="13" max="13" width="31.36328125" customWidth="1"/>
    <col min="14" max="14" width="15.54296875" customWidth="1"/>
  </cols>
  <sheetData>
    <row r="1" spans="1:14" ht="20" x14ac:dyDescent="0.35">
      <c r="D1" s="1310" t="str">
        <f>'Sector_MDAs Summary-Details'!C1</f>
        <v>Perfomance Delivery Coordination Unit (PDCU), Office of the Executive Governor</v>
      </c>
      <c r="E1" s="1310"/>
      <c r="F1" s="1310"/>
      <c r="G1" s="1310"/>
      <c r="H1" s="1310"/>
      <c r="I1" s="1310"/>
      <c r="J1" s="1310"/>
      <c r="K1" s="1673"/>
      <c r="M1" s="308"/>
      <c r="N1" s="308"/>
    </row>
    <row r="2" spans="1:14" ht="15.5" x14ac:dyDescent="0.35">
      <c r="A2" s="2002" t="s">
        <v>1411</v>
      </c>
      <c r="B2" s="2002"/>
      <c r="C2" s="2002"/>
      <c r="D2" s="2002"/>
      <c r="E2" s="2002"/>
      <c r="F2" s="2002"/>
      <c r="G2" s="2002"/>
      <c r="H2" s="2002"/>
      <c r="I2" s="2002"/>
      <c r="J2" s="2002"/>
      <c r="K2" s="2002"/>
      <c r="L2" s="2002"/>
      <c r="M2" s="2002"/>
      <c r="N2" s="308"/>
    </row>
    <row r="3" spans="1:14" ht="14.5" customHeight="1" x14ac:dyDescent="0.35">
      <c r="A3" s="2003" t="s">
        <v>1083</v>
      </c>
      <c r="B3" s="2004" t="s">
        <v>1601</v>
      </c>
      <c r="C3" s="2005" t="str">
        <f>'Sector_MDAs Summary-Details'!B3</f>
        <v>Commitments</v>
      </c>
      <c r="D3" s="2005" t="str">
        <f>'Sector_MDAs Summary-Details'!C3</f>
        <v>No. of Outputs</v>
      </c>
      <c r="E3" s="2000" t="str">
        <f>'Sector_MDAs Summary-Details'!D3</f>
        <v>No Results to be Delivered</v>
      </c>
      <c r="F3" s="2006" t="str">
        <f>'Sector_MDAs Summary-Details'!E3</f>
        <v>Performance for Each Result</v>
      </c>
      <c r="G3" s="2006">
        <f>'Sector_MDAs Summary-Details'!F3</f>
        <v>0</v>
      </c>
      <c r="H3" s="2006">
        <f>'Sector_MDAs Summary-Details'!G3</f>
        <v>0</v>
      </c>
      <c r="I3" s="2006">
        <f>'Sector_MDAs Summary-Details'!H3</f>
        <v>0</v>
      </c>
      <c r="J3" s="2000" t="str">
        <f>'Sector_MDAs Summary-Details'!I4</f>
        <v>Below Minimum Expectation</v>
      </c>
      <c r="K3" s="2000" t="str">
        <f>'Sector_MDAs Summary-Details'!J4</f>
        <v>Not Assessed</v>
      </c>
      <c r="L3" s="2007" t="str">
        <f>'Sector_MDAs Summary-Details'!K3</f>
        <v>Overall Performance</v>
      </c>
      <c r="M3" s="2008">
        <f>'Sector_MDAs Summary-Details'!L3</f>
        <v>0</v>
      </c>
      <c r="N3" s="308"/>
    </row>
    <row r="4" spans="1:14" ht="40.5" customHeight="1" x14ac:dyDescent="0.35">
      <c r="A4" s="2003">
        <v>0</v>
      </c>
      <c r="B4" s="2004">
        <v>0</v>
      </c>
      <c r="C4" s="2005">
        <f>'Sector_MDAs Summary-Details'!B4</f>
        <v>0</v>
      </c>
      <c r="D4" s="2005">
        <f>'Sector_MDAs Summary-Details'!C4</f>
        <v>0</v>
      </c>
      <c r="E4" s="2001"/>
      <c r="F4" s="1916" t="str">
        <f>'Sector_MDAs Summary-Details'!E4</f>
        <v xml:space="preserve">Exceptional </v>
      </c>
      <c r="G4" s="1916" t="str">
        <f>'Sector_MDAs Summary-Details'!F4</f>
        <v>Above Expectation</v>
      </c>
      <c r="H4" s="1916" t="str">
        <f>'Sector_MDAs Summary-Details'!G4</f>
        <v>Meets Expectation</v>
      </c>
      <c r="I4" s="1916" t="str">
        <f>'Sector_MDAs Summary-Details'!H4</f>
        <v>Needs Improvement</v>
      </c>
      <c r="J4" s="2001"/>
      <c r="K4" s="2659"/>
      <c r="L4" s="2009">
        <f>'Sector_MDAs Summary-Details'!K4</f>
        <v>0</v>
      </c>
      <c r="M4" s="2010">
        <f>'Sector_MDAs Summary-Details'!L4</f>
        <v>0</v>
      </c>
      <c r="N4" s="308"/>
    </row>
    <row r="5" spans="1:14" ht="26" x14ac:dyDescent="0.35">
      <c r="A5" s="2003">
        <v>0</v>
      </c>
      <c r="B5" s="2004">
        <v>0</v>
      </c>
      <c r="C5" s="2005">
        <f>'Sector_MDAs Summary-Details'!B5</f>
        <v>0</v>
      </c>
      <c r="D5" s="2005">
        <f>'Sector_MDAs Summary-Details'!C5</f>
        <v>0</v>
      </c>
      <c r="E5" s="1985" t="s">
        <v>447</v>
      </c>
      <c r="F5" s="1916" t="str">
        <f>'Sector_MDAs Summary-Details'!E5</f>
        <v>Above 100%</v>
      </c>
      <c r="G5" s="1916" t="str">
        <f>'Sector_MDAs Summary-Details'!F5</f>
        <v>70% -100%</v>
      </c>
      <c r="H5" s="1916" t="str">
        <f>'Sector_MDAs Summary-Details'!G5</f>
        <v>60% - 69%</v>
      </c>
      <c r="I5" s="1916" t="str">
        <f>'Sector_MDAs Summary-Details'!H5</f>
        <v>40% - 59%</v>
      </c>
      <c r="J5" s="1916" t="str">
        <f>'Sector_MDAs Summary-Details'!I5</f>
        <v>Below 40%</v>
      </c>
      <c r="K5" s="937" t="str">
        <f>'Sector_MDAs Summary-Details'!J5</f>
        <v>N/A</v>
      </c>
      <c r="L5" s="1916" t="str">
        <f>'Sector_MDAs Summary-Details'!K5</f>
        <v>Performance</v>
      </c>
      <c r="M5" s="1980" t="str">
        <f>'Sector_MDAs Summary-Details'!L5</f>
        <v>Rating</v>
      </c>
      <c r="N5" s="308"/>
    </row>
    <row r="6" spans="1:14" ht="15.5" customHeight="1" x14ac:dyDescent="0.35">
      <c r="A6" s="1220"/>
      <c r="B6" s="1221"/>
      <c r="C6" s="1221"/>
      <c r="D6" s="1222"/>
      <c r="E6" s="1222"/>
      <c r="F6" s="1222"/>
      <c r="G6" s="1222"/>
      <c r="H6" s="1222"/>
      <c r="I6" s="1222"/>
      <c r="J6" s="1222"/>
      <c r="K6" s="1222"/>
      <c r="L6" s="1222"/>
      <c r="M6" s="1223"/>
      <c r="N6" s="308"/>
    </row>
    <row r="7" spans="1:14" ht="25" customHeight="1" x14ac:dyDescent="0.35">
      <c r="A7" s="1945">
        <v>1</v>
      </c>
      <c r="B7" s="1950" t="s">
        <v>1528</v>
      </c>
      <c r="C7" s="1950">
        <v>1</v>
      </c>
      <c r="D7" s="1947">
        <f>'Sector_MDAs Summary-Details'!C9</f>
        <v>9</v>
      </c>
      <c r="E7" s="1947">
        <f>'Sector_MDAs Summary-Details'!D9</f>
        <v>20</v>
      </c>
      <c r="F7" s="1947">
        <f>'Sector_MDAs Summary-Details'!E9</f>
        <v>5</v>
      </c>
      <c r="G7" s="1947">
        <f>'Sector_MDAs Summary-Details'!F9</f>
        <v>5</v>
      </c>
      <c r="H7" s="1947">
        <f>'Sector_MDAs Summary-Details'!G9</f>
        <v>2</v>
      </c>
      <c r="I7" s="1947">
        <f>'Sector_MDAs Summary-Details'!H9</f>
        <v>5</v>
      </c>
      <c r="J7" s="1959">
        <f>'Sector_MDAs Summary-Details'!I9</f>
        <v>2</v>
      </c>
      <c r="K7" s="1947">
        <f>'Sector_MDAs Summary-Details'!J9</f>
        <v>1</v>
      </c>
      <c r="L7" s="1954">
        <f>'Sector_MDAs Summary-Details'!K9</f>
        <v>0.72931604010025053</v>
      </c>
      <c r="M7" s="1968" t="str">
        <f>'Sector_MDAs Summary-Details'!L9</f>
        <v>Very Good (Above Expectations)</v>
      </c>
      <c r="N7" s="1979">
        <f t="shared" ref="N7" si="0">E7-(F7+G7+H7+I7+J7+K7)</f>
        <v>0</v>
      </c>
    </row>
    <row r="8" spans="1:14" ht="25" customHeight="1" x14ac:dyDescent="0.35">
      <c r="A8" s="1945">
        <v>2</v>
      </c>
      <c r="B8" s="1949" t="s">
        <v>1305</v>
      </c>
      <c r="C8" s="1949">
        <v>10</v>
      </c>
      <c r="D8" s="1959">
        <f>'Sector_MDAs Summary-Details'!C22</f>
        <v>19</v>
      </c>
      <c r="E8" s="1947">
        <f>'Sector_MDAs Summary-Details'!D22</f>
        <v>31</v>
      </c>
      <c r="F8" s="1947">
        <f>'Sector_MDAs Summary-Details'!E22</f>
        <v>4</v>
      </c>
      <c r="G8" s="1947">
        <f>'Sector_MDAs Summary-Details'!F22</f>
        <v>6</v>
      </c>
      <c r="H8" s="1947">
        <f>'Sector_MDAs Summary-Details'!G22</f>
        <v>0</v>
      </c>
      <c r="I8" s="1947">
        <f>'Sector_MDAs Summary-Details'!H22</f>
        <v>1</v>
      </c>
      <c r="J8" s="1959">
        <f>'Sector_MDAs Summary-Details'!I22</f>
        <v>15</v>
      </c>
      <c r="K8" s="1947">
        <f>'Sector_MDAs Summary-Details'!J22</f>
        <v>5</v>
      </c>
      <c r="L8" s="1952">
        <f>'Sector_MDAs Summary-Details'!K22</f>
        <v>0.44961479680238536</v>
      </c>
      <c r="M8" s="1969" t="str">
        <f>'Sector_MDAs Summary-Details'!L22</f>
        <v>Fair (Needs Improvement)</v>
      </c>
      <c r="N8" s="1979">
        <f>E8-(F8+G8+H8+I8+J8+K8)</f>
        <v>0</v>
      </c>
    </row>
    <row r="9" spans="1:14" ht="25" customHeight="1" x14ac:dyDescent="0.35">
      <c r="A9" s="1945">
        <v>3</v>
      </c>
      <c r="B9" s="1949" t="s">
        <v>1314</v>
      </c>
      <c r="C9" s="1949">
        <v>4</v>
      </c>
      <c r="D9" s="1947">
        <f>'Sector_MDAs Summary-Details'!C30</f>
        <v>8</v>
      </c>
      <c r="E9" s="1947">
        <f>'Sector_MDAs Summary-Details'!D30</f>
        <v>19</v>
      </c>
      <c r="F9" s="1947">
        <f>'Sector_MDAs Summary-Details'!E30</f>
        <v>4</v>
      </c>
      <c r="G9" s="1947">
        <f>'Sector_MDAs Summary-Details'!F30</f>
        <v>4</v>
      </c>
      <c r="H9" s="1947">
        <f>'Sector_MDAs Summary-Details'!G30</f>
        <v>2</v>
      </c>
      <c r="I9" s="1947">
        <f>'Sector_MDAs Summary-Details'!H30</f>
        <v>3</v>
      </c>
      <c r="J9" s="1947">
        <f>'Sector_MDAs Summary-Details'!I30</f>
        <v>4</v>
      </c>
      <c r="K9" s="1947">
        <f>'Sector_MDAs Summary-Details'!J30</f>
        <v>2</v>
      </c>
      <c r="L9" s="1952">
        <f>'Sector_MDAs Summary-Details'!K30</f>
        <v>0.62036672085080102</v>
      </c>
      <c r="M9" s="1969" t="s">
        <v>1534</v>
      </c>
      <c r="N9" s="1979">
        <f t="shared" ref="N9:N27" si="1">E9-(F9+G9+H9+I9+J9+K9)</f>
        <v>0</v>
      </c>
    </row>
    <row r="10" spans="1:14" ht="25" customHeight="1" x14ac:dyDescent="0.35">
      <c r="A10" s="1945">
        <v>4</v>
      </c>
      <c r="B10" s="1946" t="s">
        <v>1319</v>
      </c>
      <c r="C10" s="1946">
        <v>5</v>
      </c>
      <c r="D10" s="1948">
        <f>'Sector_MDAs Summary-Details'!C38</f>
        <v>6</v>
      </c>
      <c r="E10" s="1948">
        <f>'Sector_MDAs Summary-Details'!D38</f>
        <v>8</v>
      </c>
      <c r="F10" s="1948">
        <f>'Sector_MDAs Summary-Details'!E38</f>
        <v>0</v>
      </c>
      <c r="G10" s="1948">
        <f>'Sector_MDAs Summary-Details'!F38</f>
        <v>5</v>
      </c>
      <c r="H10" s="1948">
        <f>'Sector_MDAs Summary-Details'!G38</f>
        <v>1</v>
      </c>
      <c r="I10" s="1948">
        <f>'Sector_MDAs Summary-Details'!H38</f>
        <v>1</v>
      </c>
      <c r="J10" s="1948">
        <f>'Sector_MDAs Summary-Details'!I38</f>
        <v>1</v>
      </c>
      <c r="K10" s="1948">
        <f>'Sector_MDAs Summary-Details'!J38</f>
        <v>0</v>
      </c>
      <c r="L10" s="1955">
        <f>'Sector_MDAs Summary-Details'!K38</f>
        <v>0.70770833333333338</v>
      </c>
      <c r="M10" s="1970" t="str">
        <f>'Sector_MDAs Summary-Details'!L38</f>
        <v>Very Good (Above Expectations)</v>
      </c>
      <c r="N10" s="1979">
        <f t="shared" si="1"/>
        <v>0</v>
      </c>
    </row>
    <row r="11" spans="1:14" ht="25" customHeight="1" x14ac:dyDescent="0.35">
      <c r="A11" s="1945">
        <v>5</v>
      </c>
      <c r="B11" s="1949" t="s">
        <v>1277</v>
      </c>
      <c r="C11" s="1949">
        <v>6</v>
      </c>
      <c r="D11" s="1948">
        <f>'Sector_MDAs Summary-Details'!C47</f>
        <v>31</v>
      </c>
      <c r="E11" s="1948">
        <f>'Sector_MDAs Summary-Details'!D47</f>
        <v>47</v>
      </c>
      <c r="F11" s="1948">
        <f>'Sector_MDAs Summary-Details'!E47</f>
        <v>12</v>
      </c>
      <c r="G11" s="1948">
        <f>'Sector_MDAs Summary-Details'!F47</f>
        <v>21</v>
      </c>
      <c r="H11" s="1948">
        <f>'Sector_MDAs Summary-Details'!G47</f>
        <v>3</v>
      </c>
      <c r="I11" s="1948">
        <f>'Sector_MDAs Summary-Details'!H47</f>
        <v>3</v>
      </c>
      <c r="J11" s="1948">
        <f>'Sector_MDAs Summary-Details'!I47</f>
        <v>7</v>
      </c>
      <c r="K11" s="1948">
        <f>'Sector_MDAs Summary-Details'!J47</f>
        <v>1</v>
      </c>
      <c r="L11" s="1955">
        <f>'Sector_MDAs Summary-Details'!K47</f>
        <v>0.76182237745230252</v>
      </c>
      <c r="M11" s="1970" t="str">
        <f>'Sector_MDAs Summary-Details'!L47</f>
        <v>Very Good (Above Expectations)</v>
      </c>
      <c r="N11" s="1979">
        <f t="shared" si="1"/>
        <v>0</v>
      </c>
    </row>
    <row r="12" spans="1:14" ht="25" customHeight="1" x14ac:dyDescent="0.35">
      <c r="A12" s="1945">
        <v>6</v>
      </c>
      <c r="B12" s="1949" t="s">
        <v>1272</v>
      </c>
      <c r="C12" s="1949">
        <v>9</v>
      </c>
      <c r="D12" s="1947">
        <f>'Sector_MDAs Summary-Details'!C59</f>
        <v>10</v>
      </c>
      <c r="E12" s="1947">
        <f>'Sector_MDAs Summary-Details'!D59</f>
        <v>19</v>
      </c>
      <c r="F12" s="1947">
        <f>'Sector_MDAs Summary-Details'!E59</f>
        <v>6</v>
      </c>
      <c r="G12" s="1947">
        <f>'Sector_MDAs Summary-Details'!F59</f>
        <v>6</v>
      </c>
      <c r="H12" s="1947">
        <f>'Sector_MDAs Summary-Details'!G59</f>
        <v>0</v>
      </c>
      <c r="I12" s="1947">
        <f>'Sector_MDAs Summary-Details'!H59</f>
        <v>2</v>
      </c>
      <c r="J12" s="1947">
        <f>'Sector_MDAs Summary-Details'!I59</f>
        <v>5</v>
      </c>
      <c r="K12" s="1947">
        <f>'Sector_MDAs Summary-Details'!J59</f>
        <v>0</v>
      </c>
      <c r="L12" s="1954">
        <f>'Sector_MDAs Summary-Details'!K59</f>
        <v>0.68881950007762771</v>
      </c>
      <c r="M12" s="1968" t="str">
        <f>'Sector_MDAs Summary-Details'!L59</f>
        <v>Good (Meets Expectations)</v>
      </c>
      <c r="N12" s="1979">
        <f t="shared" si="1"/>
        <v>0</v>
      </c>
    </row>
    <row r="13" spans="1:14" ht="25" customHeight="1" x14ac:dyDescent="0.35">
      <c r="A13" s="1945">
        <v>7</v>
      </c>
      <c r="B13" s="1949" t="s">
        <v>1339</v>
      </c>
      <c r="C13" s="1949">
        <v>11</v>
      </c>
      <c r="D13" s="1947">
        <f>'Sector_MDAs Summary-Details'!C75</f>
        <v>13</v>
      </c>
      <c r="E13" s="1947">
        <f>'Sector_MDAs Summary-Details'!D75</f>
        <v>23</v>
      </c>
      <c r="F13" s="1947">
        <f>'Sector_MDAs Summary-Details'!E75</f>
        <v>9</v>
      </c>
      <c r="G13" s="1947">
        <f>'Sector_MDAs Summary-Details'!F75</f>
        <v>11</v>
      </c>
      <c r="H13" s="1947">
        <f>'Sector_MDAs Summary-Details'!G75</f>
        <v>1</v>
      </c>
      <c r="I13" s="1947">
        <f>'Sector_MDAs Summary-Details'!H75</f>
        <v>0</v>
      </c>
      <c r="J13" s="1947">
        <f>'Sector_MDAs Summary-Details'!I75</f>
        <v>1</v>
      </c>
      <c r="K13" s="1947">
        <f>'Sector_MDAs Summary-Details'!J75</f>
        <v>1</v>
      </c>
      <c r="L13" s="1952">
        <f>'Sector_MDAs Summary-Details'!K75</f>
        <v>0.93330919705815452</v>
      </c>
      <c r="M13" s="1969" t="str">
        <f>'Sector_MDAs Summary-Details'!L75</f>
        <v>Very Good (Above Expectations)</v>
      </c>
      <c r="N13" s="1979">
        <f t="shared" si="1"/>
        <v>0</v>
      </c>
    </row>
    <row r="14" spans="1:14" ht="25" customHeight="1" x14ac:dyDescent="0.35">
      <c r="A14" s="1945">
        <v>8</v>
      </c>
      <c r="B14" s="1949" t="s">
        <v>1351</v>
      </c>
      <c r="C14" s="1949">
        <v>1</v>
      </c>
      <c r="D14" s="1948">
        <f>'Sector_MDAs Summary-Details'!C80</f>
        <v>3</v>
      </c>
      <c r="E14" s="1948">
        <f>'Sector_MDAs Summary-Details'!D80</f>
        <v>18</v>
      </c>
      <c r="F14" s="1948">
        <f>'Sector_MDAs Summary-Details'!E80</f>
        <v>8</v>
      </c>
      <c r="G14" s="1948">
        <f>'Sector_MDAs Summary-Details'!F80</f>
        <v>7</v>
      </c>
      <c r="H14" s="1948">
        <f>'Sector_MDAs Summary-Details'!G80</f>
        <v>0</v>
      </c>
      <c r="I14" s="1948">
        <f>'Sector_MDAs Summary-Details'!H80</f>
        <v>2</v>
      </c>
      <c r="J14" s="1948">
        <f>'Sector_MDAs Summary-Details'!I80</f>
        <v>1</v>
      </c>
      <c r="K14" s="1948">
        <f>'Sector_MDAs Summary-Details'!J80</f>
        <v>0</v>
      </c>
      <c r="L14" s="1955">
        <f>'Sector_MDAs Summary-Details'!K80</f>
        <v>0.86473684210526314</v>
      </c>
      <c r="M14" s="1970" t="str">
        <f>'Sector_MDAs Summary-Details'!L80</f>
        <v>Very Good (Above Expectations)</v>
      </c>
      <c r="N14" s="1979">
        <f t="shared" si="1"/>
        <v>0</v>
      </c>
    </row>
    <row r="15" spans="1:14" ht="25" customHeight="1" x14ac:dyDescent="0.35">
      <c r="A15" s="1945">
        <v>9</v>
      </c>
      <c r="B15" s="1946" t="s">
        <v>1353</v>
      </c>
      <c r="C15" s="1946">
        <v>3</v>
      </c>
      <c r="D15" s="1947">
        <f>'Sector_MDAs Summary-Details'!C90</f>
        <v>10</v>
      </c>
      <c r="E15" s="1947">
        <f>'Sector_MDAs Summary-Details'!D90</f>
        <v>22</v>
      </c>
      <c r="F15" s="1947">
        <f>'Sector_MDAs Summary-Details'!E90</f>
        <v>6</v>
      </c>
      <c r="G15" s="1947">
        <f>'Sector_MDAs Summary-Details'!F90</f>
        <v>5</v>
      </c>
      <c r="H15" s="1947">
        <f>'Sector_MDAs Summary-Details'!G90</f>
        <v>0</v>
      </c>
      <c r="I15" s="1947">
        <f>'Sector_MDAs Summary-Details'!H90</f>
        <v>2</v>
      </c>
      <c r="J15" s="1947">
        <f>'Sector_MDAs Summary-Details'!I90</f>
        <v>5</v>
      </c>
      <c r="K15" s="1947">
        <f>'Sector_MDAs Summary-Details'!J90</f>
        <v>4</v>
      </c>
      <c r="L15" s="1954">
        <f>'Sector_MDAs Summary-Details'!K90</f>
        <v>0.66296541664962705</v>
      </c>
      <c r="M15" s="1968" t="str">
        <f>'Sector_MDAs Summary-Details'!L90</f>
        <v>Good (Meets Expectations)</v>
      </c>
      <c r="N15" s="1979">
        <f t="shared" si="1"/>
        <v>0</v>
      </c>
    </row>
    <row r="16" spans="1:14" ht="25" customHeight="1" x14ac:dyDescent="0.35">
      <c r="A16" s="1945">
        <v>10</v>
      </c>
      <c r="B16" s="1951" t="s">
        <v>1358</v>
      </c>
      <c r="C16" s="1951">
        <v>4</v>
      </c>
      <c r="D16" s="1961">
        <f>'Sector_MDAs Summary-Details'!C92</f>
        <v>0</v>
      </c>
      <c r="E16" s="1947">
        <f>'Sector_MDAs Summary-Details'!D98</f>
        <v>21</v>
      </c>
      <c r="F16" s="1947">
        <f>'Sector_MDAs Summary-Details'!E98</f>
        <v>0</v>
      </c>
      <c r="G16" s="1947">
        <f>'Sector_MDAs Summary-Details'!F98</f>
        <v>6</v>
      </c>
      <c r="H16" s="1947">
        <f>'Sector_MDAs Summary-Details'!G98</f>
        <v>1</v>
      </c>
      <c r="I16" s="1947">
        <f>'Sector_MDAs Summary-Details'!H98</f>
        <v>1</v>
      </c>
      <c r="J16" s="1947">
        <f>'Sector_MDAs Summary-Details'!I98</f>
        <v>12</v>
      </c>
      <c r="K16" s="1947">
        <f>'Sector_MDAs Summary-Details'!J98</f>
        <v>1</v>
      </c>
      <c r="L16" s="1952">
        <f>'Sector_MDAs Summary-Details'!K98</f>
        <v>0.45484224259278333</v>
      </c>
      <c r="M16" s="1969" t="str">
        <f>'Sector_MDAs Summary-Details'!L98</f>
        <v>Fairly Ok (Needs Improvement)</v>
      </c>
      <c r="N16" s="1979">
        <f t="shared" si="1"/>
        <v>0</v>
      </c>
    </row>
    <row r="17" spans="1:14" ht="25" customHeight="1" x14ac:dyDescent="0.35">
      <c r="A17" s="1945">
        <v>11</v>
      </c>
      <c r="B17" s="1946" t="s">
        <v>1363</v>
      </c>
      <c r="C17" s="1946">
        <v>3</v>
      </c>
      <c r="D17" s="1947">
        <f>'Sector_MDAs Summary-Details'!C104</f>
        <v>10</v>
      </c>
      <c r="E17" s="1947">
        <f>'Sector_MDAs Summary-Details'!D104</f>
        <v>36</v>
      </c>
      <c r="F17" s="1947">
        <f>'Sector_MDAs Summary-Details'!E104</f>
        <v>6</v>
      </c>
      <c r="G17" s="1947">
        <f>'Sector_MDAs Summary-Details'!F104</f>
        <v>14</v>
      </c>
      <c r="H17" s="1947">
        <f>'Sector_MDAs Summary-Details'!G104</f>
        <v>2</v>
      </c>
      <c r="I17" s="1947">
        <f>'Sector_MDAs Summary-Details'!H104</f>
        <v>2</v>
      </c>
      <c r="J17" s="1947">
        <f>'Sector_MDAs Summary-Details'!I104</f>
        <v>12</v>
      </c>
      <c r="K17" s="1947">
        <f>'Sector_MDAs Summary-Details'!J104</f>
        <v>0</v>
      </c>
      <c r="L17" s="1956">
        <f>'Sector_MDAs Summary-Details'!K104</f>
        <v>0.6378568099282278</v>
      </c>
      <c r="M17" s="1971" t="str">
        <f>'Sector_MDAs Summary-Details'!L104</f>
        <v>Good (Meets Expectations)</v>
      </c>
      <c r="N17" s="1979">
        <f t="shared" si="1"/>
        <v>0</v>
      </c>
    </row>
    <row r="18" spans="1:14" ht="25" customHeight="1" x14ac:dyDescent="0.35">
      <c r="A18" s="1945">
        <v>12</v>
      </c>
      <c r="B18" s="1946" t="s">
        <v>1367</v>
      </c>
      <c r="C18" s="1946">
        <v>1</v>
      </c>
      <c r="D18" s="1947">
        <f>'Sector_MDAs Summary-Details'!C114</f>
        <v>1</v>
      </c>
      <c r="E18" s="1947">
        <f>'Sector_MDAs Summary-Details'!D114</f>
        <v>7</v>
      </c>
      <c r="F18" s="1947">
        <f>'Sector_MDAs Summary-Details'!E114</f>
        <v>4</v>
      </c>
      <c r="G18" s="1947">
        <f>'Sector_MDAs Summary-Details'!F114</f>
        <v>0</v>
      </c>
      <c r="H18" s="1947">
        <f>'Sector_MDAs Summary-Details'!G114</f>
        <v>0</v>
      </c>
      <c r="I18" s="1947">
        <f>'Sector_MDAs Summary-Details'!H114</f>
        <v>2</v>
      </c>
      <c r="J18" s="1947">
        <f>'Sector_MDAs Summary-Details'!I114</f>
        <v>1</v>
      </c>
      <c r="K18" s="1947">
        <f>'Sector_MDAs Summary-Details'!J114</f>
        <v>0</v>
      </c>
      <c r="L18" s="1954">
        <f>'Sector_MDAs Summary-Details'!K114</f>
        <v>0.76428571428571423</v>
      </c>
      <c r="M18" s="1968" t="str">
        <f>'Sector_MDAs Summary-Details'!L114</f>
        <v>Very Good (Above Expectations)</v>
      </c>
      <c r="N18" s="1979">
        <f t="shared" si="1"/>
        <v>0</v>
      </c>
    </row>
    <row r="19" spans="1:14" ht="25" customHeight="1" x14ac:dyDescent="0.35">
      <c r="A19" s="1945">
        <v>13</v>
      </c>
      <c r="B19" s="1946" t="s">
        <v>1369</v>
      </c>
      <c r="C19" s="1946">
        <v>1</v>
      </c>
      <c r="D19" s="1947">
        <f>'Sector_MDAs Summary-Details'!C119</f>
        <v>3</v>
      </c>
      <c r="E19" s="1947">
        <f>'Sector_MDAs Summary-Details'!D119</f>
        <v>8</v>
      </c>
      <c r="F19" s="1947">
        <f>'Sector_MDAs Summary-Details'!E119</f>
        <v>2</v>
      </c>
      <c r="G19" s="1947">
        <f>'Sector_MDAs Summary-Details'!F119</f>
        <v>0</v>
      </c>
      <c r="H19" s="1947">
        <f>'Sector_MDAs Summary-Details'!G119</f>
        <v>0</v>
      </c>
      <c r="I19" s="1947">
        <f>'Sector_MDAs Summary-Details'!H119</f>
        <v>2</v>
      </c>
      <c r="J19" s="1947">
        <f>'Sector_MDAs Summary-Details'!I119</f>
        <v>2</v>
      </c>
      <c r="K19" s="1947">
        <f>'Sector_MDAs Summary-Details'!J119</f>
        <v>2</v>
      </c>
      <c r="L19" s="1954">
        <f>'Sector_MDAs Summary-Details'!K119</f>
        <v>0.56083333333333329</v>
      </c>
      <c r="M19" s="1968" t="str">
        <f>'Sector_MDAs Summary-Details'!L119</f>
        <v>Fairly Ok (Needs Improvement)</v>
      </c>
      <c r="N19" s="1979">
        <f t="shared" si="1"/>
        <v>0</v>
      </c>
    </row>
    <row r="20" spans="1:14" ht="25" customHeight="1" x14ac:dyDescent="0.35">
      <c r="A20" s="1945">
        <v>14</v>
      </c>
      <c r="B20" s="1951" t="s">
        <v>1266</v>
      </c>
      <c r="C20" s="1951">
        <v>4</v>
      </c>
      <c r="D20" s="1947">
        <f>'Sector_MDAs Summary-Details'!C130</f>
        <v>7</v>
      </c>
      <c r="E20" s="1947">
        <f>'Sector_MDAs Summary-Details'!D130</f>
        <v>24</v>
      </c>
      <c r="F20" s="1947">
        <f>'Sector_MDAs Summary-Details'!E130</f>
        <v>7</v>
      </c>
      <c r="G20" s="1947">
        <f>'Sector_MDAs Summary-Details'!F130</f>
        <v>3</v>
      </c>
      <c r="H20" s="1947">
        <f>'Sector_MDAs Summary-Details'!G130</f>
        <v>0</v>
      </c>
      <c r="I20" s="1947">
        <f>'Sector_MDAs Summary-Details'!H130</f>
        <v>1</v>
      </c>
      <c r="J20" s="1947">
        <f>'Sector_MDAs Summary-Details'!I130</f>
        <v>10</v>
      </c>
      <c r="K20" s="1947">
        <f>'Sector_MDAs Summary-Details'!J130</f>
        <v>3</v>
      </c>
      <c r="L20" s="1952">
        <f>'Sector_MDAs Summary-Details'!K130</f>
        <v>0.51601965451515952</v>
      </c>
      <c r="M20" s="1969" t="str">
        <f>'Sector_MDAs Summary-Details'!L130</f>
        <v>Fairly Ok (Needs Improvement)</v>
      </c>
      <c r="N20" s="1979">
        <f t="shared" si="1"/>
        <v>0</v>
      </c>
    </row>
    <row r="21" spans="1:14" ht="25" customHeight="1" x14ac:dyDescent="0.35">
      <c r="A21" s="1945">
        <v>15</v>
      </c>
      <c r="B21" s="1946" t="s">
        <v>1375</v>
      </c>
      <c r="C21" s="1946">
        <v>12</v>
      </c>
      <c r="D21" s="1962">
        <f>'Sector_MDAs Summary-Details'!C146</f>
        <v>24</v>
      </c>
      <c r="E21" s="1962">
        <f>'Sector_MDAs Summary-Details'!D146</f>
        <v>67</v>
      </c>
      <c r="F21" s="1962">
        <f>'Sector_MDAs Summary-Details'!E146</f>
        <v>12</v>
      </c>
      <c r="G21" s="1962">
        <f>'Sector_MDAs Summary-Details'!F146</f>
        <v>20</v>
      </c>
      <c r="H21" s="1962">
        <f>'Sector_MDAs Summary-Details'!G146</f>
        <v>4</v>
      </c>
      <c r="I21" s="1962">
        <f>'Sector_MDAs Summary-Details'!H146</f>
        <v>14</v>
      </c>
      <c r="J21" s="1962">
        <f>'Sector_MDAs Summary-Details'!I146</f>
        <v>13</v>
      </c>
      <c r="K21" s="1962">
        <f>'Sector_MDAs Summary-Details'!J146</f>
        <v>4</v>
      </c>
      <c r="L21" s="1955">
        <f>'Sector_MDAs Summary-Details'!K146</f>
        <v>0.64833356692831601</v>
      </c>
      <c r="M21" s="1972" t="str">
        <f>'Sector_MDAs Summary-Details'!L146</f>
        <v>Good (Meets Expectations)</v>
      </c>
      <c r="N21" s="1979">
        <f t="shared" si="1"/>
        <v>0</v>
      </c>
    </row>
    <row r="22" spans="1:14" ht="25" customHeight="1" x14ac:dyDescent="0.35">
      <c r="A22" s="1945">
        <v>16</v>
      </c>
      <c r="B22" s="1946" t="s">
        <v>1388</v>
      </c>
      <c r="C22" s="1946">
        <v>3</v>
      </c>
      <c r="D22" s="1948">
        <f>'Sector_MDAs Summary-Details'!C152</f>
        <v>4</v>
      </c>
      <c r="E22" s="1948">
        <f>'Sector_MDAs Summary-Details'!D152</f>
        <v>11</v>
      </c>
      <c r="F22" s="1948">
        <f>'Sector_MDAs Summary-Details'!E152</f>
        <v>2</v>
      </c>
      <c r="G22" s="1948">
        <f>'Sector_MDAs Summary-Details'!F152</f>
        <v>3</v>
      </c>
      <c r="H22" s="1948">
        <f>'Sector_MDAs Summary-Details'!G152</f>
        <v>0</v>
      </c>
      <c r="I22" s="1948">
        <f>'Sector_MDAs Summary-Details'!H152</f>
        <v>1</v>
      </c>
      <c r="J22" s="1948">
        <f>'Sector_MDAs Summary-Details'!I152</f>
        <v>4</v>
      </c>
      <c r="K22" s="1948">
        <f>'Sector_MDAs Summary-Details'!J152</f>
        <v>1</v>
      </c>
      <c r="L22" s="1957">
        <f>'Sector_MDAs Summary-Details'!K152</f>
        <v>0.56356925820340453</v>
      </c>
      <c r="M22" s="1973" t="str">
        <f>'Sector_MDAs Summary-Details'!L152</f>
        <v>Fairly Ok (Needs Improvement)</v>
      </c>
      <c r="N22" s="1979">
        <f t="shared" si="1"/>
        <v>0</v>
      </c>
    </row>
    <row r="23" spans="1:14" ht="25" customHeight="1" x14ac:dyDescent="0.35">
      <c r="A23" s="1945">
        <v>17</v>
      </c>
      <c r="B23" s="1946" t="s">
        <v>1274</v>
      </c>
      <c r="C23" s="1946">
        <v>4</v>
      </c>
      <c r="D23" s="1947">
        <f>'Sector_MDAs Summary-Details'!C160</f>
        <v>7</v>
      </c>
      <c r="E23" s="1947">
        <f>'Sector_MDAs Summary-Details'!D160</f>
        <v>18</v>
      </c>
      <c r="F23" s="1947">
        <f>'Sector_MDAs Summary-Details'!E160</f>
        <v>1</v>
      </c>
      <c r="G23" s="1947">
        <f>'Sector_MDAs Summary-Details'!F160</f>
        <v>8</v>
      </c>
      <c r="H23" s="1947">
        <f>'Sector_MDAs Summary-Details'!G160</f>
        <v>0</v>
      </c>
      <c r="I23" s="1947">
        <f>'Sector_MDAs Summary-Details'!H160</f>
        <v>3</v>
      </c>
      <c r="J23" s="1947">
        <f>'Sector_MDAs Summary-Details'!I160</f>
        <v>4</v>
      </c>
      <c r="K23" s="1947">
        <f>'Sector_MDAs Summary-Details'!J160</f>
        <v>2</v>
      </c>
      <c r="L23" s="1954">
        <f>'Sector_MDAs Summary-Details'!K160</f>
        <v>0.5998809523809524</v>
      </c>
      <c r="M23" s="1968" t="str">
        <f>'Sector_MDAs Summary-Details'!L160</f>
        <v>Good (Meets Expectations)</v>
      </c>
      <c r="N23" s="1979">
        <f t="shared" si="1"/>
        <v>0</v>
      </c>
    </row>
    <row r="24" spans="1:14" ht="25" customHeight="1" x14ac:dyDescent="0.35">
      <c r="A24" s="1945">
        <v>18</v>
      </c>
      <c r="B24" s="1946" t="s">
        <v>1285</v>
      </c>
      <c r="C24" s="1946">
        <v>1</v>
      </c>
      <c r="D24" s="1947">
        <f>'Sector_MDAs Summary-Details'!C163</f>
        <v>9</v>
      </c>
      <c r="E24" s="1947">
        <f>'Sector_MDAs Summary-Details'!D163</f>
        <v>29</v>
      </c>
      <c r="F24" s="1947">
        <f>'Sector_MDAs Summary-Details'!E163</f>
        <v>6</v>
      </c>
      <c r="G24" s="1947">
        <f>'Sector_MDAs Summary-Details'!F163</f>
        <v>8</v>
      </c>
      <c r="H24" s="1947">
        <f>'Sector_MDAs Summary-Details'!G163</f>
        <v>1</v>
      </c>
      <c r="I24" s="1947">
        <f>'Sector_MDAs Summary-Details'!H163</f>
        <v>2</v>
      </c>
      <c r="J24" s="1947">
        <f>'Sector_MDAs Summary-Details'!I163</f>
        <v>11</v>
      </c>
      <c r="K24" s="1947">
        <f>'Sector_MDAs Summary-Details'!J163</f>
        <v>1</v>
      </c>
      <c r="L24" s="1952">
        <f>'Sector_MDAs Summary-Details'!K163</f>
        <v>0.56943897099069507</v>
      </c>
      <c r="M24" s="1969" t="str">
        <f>'Sector_MDAs Summary-Details'!L163</f>
        <v>Fairly Ok (Needs Improvement)</v>
      </c>
      <c r="N24" s="1979">
        <f t="shared" si="1"/>
        <v>0</v>
      </c>
    </row>
    <row r="25" spans="1:14" ht="25" customHeight="1" x14ac:dyDescent="0.35">
      <c r="A25" s="1945">
        <v>19</v>
      </c>
      <c r="B25" s="1946" t="s">
        <v>1397</v>
      </c>
      <c r="C25" s="1946">
        <v>8</v>
      </c>
      <c r="D25" s="1947">
        <f>'Sector_MDAs Summary-Details'!C183</f>
        <v>9</v>
      </c>
      <c r="E25" s="1947">
        <f>'Sector_MDAs Summary-Details'!D183</f>
        <v>19</v>
      </c>
      <c r="F25" s="1947">
        <f>'Sector_MDAs Summary-Details'!E183</f>
        <v>5</v>
      </c>
      <c r="G25" s="1947">
        <f>'Sector_MDAs Summary-Details'!F183</f>
        <v>2</v>
      </c>
      <c r="H25" s="1947">
        <f>'Sector_MDAs Summary-Details'!G183</f>
        <v>0</v>
      </c>
      <c r="I25" s="1947">
        <f>'Sector_MDAs Summary-Details'!H183</f>
        <v>0</v>
      </c>
      <c r="J25" s="1947">
        <f>'Sector_MDAs Summary-Details'!I183</f>
        <v>3</v>
      </c>
      <c r="K25" s="1947">
        <f>'Sector_MDAs Summary-Details'!J183</f>
        <v>9</v>
      </c>
      <c r="L25" s="1955">
        <f>'Sector_MDAs Summary-Details'!K183</f>
        <v>0.68533333333333335</v>
      </c>
      <c r="M25" s="1970" t="str">
        <f>'Sector_MDAs Summary-Details'!L183</f>
        <v>Good (Meets Expectations)</v>
      </c>
      <c r="N25" s="1979">
        <f t="shared" si="1"/>
        <v>0</v>
      </c>
    </row>
    <row r="26" spans="1:14" ht="25" customHeight="1" x14ac:dyDescent="0.35">
      <c r="A26" s="1945">
        <v>20</v>
      </c>
      <c r="B26" s="1946" t="s">
        <v>1398</v>
      </c>
      <c r="C26" s="1946">
        <v>6</v>
      </c>
      <c r="D26" s="1948">
        <f>'Sector_MDAs Summary-Details'!C192</f>
        <v>8</v>
      </c>
      <c r="E26" s="1948">
        <f>'Sector_MDAs Summary-Details'!D192</f>
        <v>57</v>
      </c>
      <c r="F26" s="1948">
        <f>'Sector_MDAs Summary-Details'!E192</f>
        <v>5</v>
      </c>
      <c r="G26" s="1948">
        <f>'Sector_MDAs Summary-Details'!F192</f>
        <v>18</v>
      </c>
      <c r="H26" s="1948">
        <f>'Sector_MDAs Summary-Details'!G192</f>
        <v>7</v>
      </c>
      <c r="I26" s="1948">
        <f>'Sector_MDAs Summary-Details'!H192</f>
        <v>10</v>
      </c>
      <c r="J26" s="1948">
        <f>'Sector_MDAs Summary-Details'!I192</f>
        <v>14</v>
      </c>
      <c r="K26" s="1948">
        <f>'Sector_MDAs Summary-Details'!J192</f>
        <v>3</v>
      </c>
      <c r="L26" s="1957">
        <f>'Sector_MDAs Summary-Details'!K192</f>
        <v>0.54791493015385651</v>
      </c>
      <c r="M26" s="1973" t="str">
        <f>'Sector_MDAs Summary-Details'!L192</f>
        <v>Fairly Ok (Needs Improvement)</v>
      </c>
      <c r="N26" s="1979">
        <f t="shared" si="1"/>
        <v>0</v>
      </c>
    </row>
    <row r="27" spans="1:14" ht="25" customHeight="1" x14ac:dyDescent="0.35">
      <c r="A27" s="1945">
        <v>21</v>
      </c>
      <c r="B27" s="1946" t="s">
        <v>1406</v>
      </c>
      <c r="C27" s="1946">
        <v>5</v>
      </c>
      <c r="D27" s="1960">
        <f>'Sector_MDAs Summary-Details'!C200</f>
        <v>6</v>
      </c>
      <c r="E27" s="1960">
        <f>'Sector_MDAs Summary-Details'!D200</f>
        <v>28</v>
      </c>
      <c r="F27" s="1960">
        <f>'Sector_MDAs Summary-Details'!E200</f>
        <v>1</v>
      </c>
      <c r="G27" s="1960">
        <f>'Sector_MDAs Summary-Details'!F200</f>
        <v>19</v>
      </c>
      <c r="H27" s="1960">
        <f>'Sector_MDAs Summary-Details'!G200</f>
        <v>0</v>
      </c>
      <c r="I27" s="1960">
        <f>'Sector_MDAs Summary-Details'!H200</f>
        <v>2</v>
      </c>
      <c r="J27" s="1960">
        <f>'Sector_MDAs Summary-Details'!I200</f>
        <v>5</v>
      </c>
      <c r="K27" s="1960">
        <f>'Sector_MDAs Summary-Details'!J200</f>
        <v>1</v>
      </c>
      <c r="L27" s="1953">
        <f>'Sector_MDAs Summary-Details'!K200</f>
        <v>0.65038751714677645</v>
      </c>
      <c r="M27" s="1974" t="str">
        <f>'Sector_MDAs Summary-Details'!L200</f>
        <v>Good (Meets Expectations)</v>
      </c>
      <c r="N27" s="1979">
        <f t="shared" si="1"/>
        <v>0</v>
      </c>
    </row>
    <row r="28" spans="1:14" x14ac:dyDescent="0.35">
      <c r="A28" s="1619"/>
      <c r="B28" s="1619"/>
      <c r="C28" s="1619"/>
      <c r="D28" s="1963"/>
      <c r="E28" s="1963"/>
      <c r="F28" s="1963"/>
      <c r="G28" s="1963"/>
      <c r="H28" s="1963"/>
      <c r="I28" s="1963"/>
      <c r="J28" s="1963"/>
      <c r="K28" s="1963"/>
      <c r="L28" s="1963"/>
      <c r="M28" s="1975"/>
      <c r="N28" s="1619"/>
    </row>
    <row r="29" spans="1:14" ht="15" thickBot="1" x14ac:dyDescent="0.4">
      <c r="A29" s="1965"/>
      <c r="B29" s="1965"/>
      <c r="C29" s="1966">
        <f>SUM(C6:C28)</f>
        <v>102</v>
      </c>
      <c r="D29" s="1966">
        <f>SUM(D6:D28)</f>
        <v>197</v>
      </c>
      <c r="E29" s="1966">
        <f t="shared" ref="E29:K29" si="2">SUM(E6:E28)</f>
        <v>532</v>
      </c>
      <c r="F29" s="1966">
        <f t="shared" si="2"/>
        <v>105</v>
      </c>
      <c r="G29" s="1966">
        <f t="shared" si="2"/>
        <v>171</v>
      </c>
      <c r="H29" s="1966">
        <f t="shared" si="2"/>
        <v>24</v>
      </c>
      <c r="I29" s="1966">
        <f t="shared" si="2"/>
        <v>59</v>
      </c>
      <c r="J29" s="1966">
        <f t="shared" si="2"/>
        <v>132</v>
      </c>
      <c r="K29" s="1966">
        <f t="shared" si="2"/>
        <v>41</v>
      </c>
      <c r="L29" s="1967">
        <f>AVERAGE(L7:L28)</f>
        <v>0.64844550039153803</v>
      </c>
      <c r="M29" s="1976"/>
      <c r="N29" s="1619"/>
    </row>
    <row r="30" spans="1:14" x14ac:dyDescent="0.35">
      <c r="A30" s="1619"/>
      <c r="B30" s="1619"/>
      <c r="C30" s="1619"/>
      <c r="D30" s="1963"/>
      <c r="E30" s="1963"/>
      <c r="F30" s="1963"/>
      <c r="G30" s="1963"/>
      <c r="H30" s="1963"/>
      <c r="I30" s="1963"/>
      <c r="J30" s="1963"/>
      <c r="K30" s="1963"/>
      <c r="L30" s="1958"/>
      <c r="M30" s="1977"/>
      <c r="N30" s="1619"/>
    </row>
    <row r="31" spans="1:14" x14ac:dyDescent="0.35">
      <c r="A31" s="1963"/>
      <c r="B31" s="1963"/>
      <c r="C31" s="1963"/>
      <c r="D31" s="1963"/>
      <c r="E31" s="1963"/>
      <c r="F31" s="1963"/>
      <c r="G31" s="1963"/>
      <c r="H31" s="1963"/>
      <c r="I31" s="1963"/>
      <c r="J31" s="1963"/>
      <c r="K31" s="1963"/>
      <c r="L31" s="1958"/>
      <c r="M31" s="1977"/>
      <c r="N31" s="1964"/>
    </row>
    <row r="32" spans="1:14" x14ac:dyDescent="0.35">
      <c r="A32" s="1619"/>
      <c r="B32" s="1619"/>
      <c r="C32" s="1619"/>
      <c r="D32" s="1963"/>
      <c r="E32" s="1963"/>
      <c r="F32" s="1963"/>
      <c r="G32" s="1963"/>
      <c r="H32" s="1963"/>
      <c r="I32" s="1963"/>
      <c r="J32" s="1963"/>
      <c r="K32" s="1963"/>
      <c r="L32" s="1958"/>
      <c r="M32" s="1977"/>
      <c r="N32" s="1619"/>
    </row>
    <row r="33" spans="1:14" x14ac:dyDescent="0.35">
      <c r="A33" s="1619"/>
      <c r="B33" s="1619"/>
      <c r="C33" s="1619"/>
      <c r="D33" s="1963"/>
      <c r="E33" s="1963"/>
      <c r="F33" s="1963"/>
      <c r="G33" s="1963"/>
      <c r="H33" s="1963"/>
      <c r="I33" s="1963"/>
      <c r="J33" s="1963"/>
      <c r="K33" s="1963"/>
      <c r="L33" s="1958"/>
      <c r="M33" s="1977"/>
      <c r="N33" s="1619"/>
    </row>
    <row r="34" spans="1:14" x14ac:dyDescent="0.35">
      <c r="A34" s="1619"/>
      <c r="B34" s="1619"/>
      <c r="C34" s="1619"/>
      <c r="D34" s="1963"/>
      <c r="E34" s="1963"/>
      <c r="F34" s="1963"/>
      <c r="G34" s="1963"/>
      <c r="H34" s="1963"/>
      <c r="I34" s="1963"/>
      <c r="J34" s="1963"/>
      <c r="K34" s="1963"/>
      <c r="L34" s="1619"/>
      <c r="M34" s="1977"/>
      <c r="N34" s="1619"/>
    </row>
    <row r="35" spans="1:14" x14ac:dyDescent="0.35">
      <c r="A35" s="1619"/>
      <c r="B35" s="1619"/>
      <c r="C35" s="1619"/>
      <c r="D35" s="1963"/>
      <c r="E35" s="1963"/>
      <c r="F35" s="1963"/>
      <c r="G35" s="1963"/>
      <c r="H35" s="1963"/>
      <c r="I35" s="1963"/>
      <c r="J35" s="1963"/>
      <c r="K35" s="1963"/>
      <c r="L35" s="1619"/>
      <c r="M35" s="1977"/>
      <c r="N35" s="1619"/>
    </row>
    <row r="36" spans="1:14" x14ac:dyDescent="0.35">
      <c r="A36" s="1619"/>
      <c r="B36" s="1619"/>
      <c r="C36" s="1619"/>
      <c r="D36" s="1963"/>
      <c r="E36" s="1963"/>
      <c r="F36" s="1963"/>
      <c r="G36" s="1963"/>
      <c r="H36" s="1963"/>
      <c r="I36" s="1963"/>
      <c r="J36" s="1963"/>
      <c r="K36" s="1963"/>
      <c r="L36" s="1619"/>
      <c r="M36" s="1977"/>
      <c r="N36" s="1619"/>
    </row>
    <row r="37" spans="1:14" x14ac:dyDescent="0.35">
      <c r="A37" s="1619"/>
      <c r="B37" s="1619"/>
      <c r="C37" s="1619"/>
      <c r="D37" s="1963"/>
      <c r="E37" s="1963"/>
      <c r="F37" s="1963"/>
      <c r="G37" s="1963"/>
      <c r="H37" s="1963"/>
      <c r="I37" s="1963"/>
      <c r="J37" s="1963"/>
      <c r="K37" s="1963"/>
      <c r="L37" s="1619"/>
      <c r="M37" s="1977"/>
      <c r="N37" s="1619"/>
    </row>
    <row r="38" spans="1:14" x14ac:dyDescent="0.35">
      <c r="A38" s="1619"/>
      <c r="B38" s="1619"/>
      <c r="C38" s="1619"/>
      <c r="D38" s="1619"/>
      <c r="E38" s="1619"/>
      <c r="F38" s="1619"/>
      <c r="G38" s="1619"/>
      <c r="H38" s="1619"/>
      <c r="I38" s="1619"/>
      <c r="J38" s="1619"/>
      <c r="K38" s="1619"/>
      <c r="L38" s="1619"/>
      <c r="M38" s="1977"/>
      <c r="N38" s="1619"/>
    </row>
    <row r="39" spans="1:14" x14ac:dyDescent="0.35">
      <c r="M39" s="1978"/>
    </row>
    <row r="40" spans="1:14" x14ac:dyDescent="0.35">
      <c r="M40" s="1978"/>
    </row>
    <row r="41" spans="1:14" x14ac:dyDescent="0.35">
      <c r="M41" s="1978"/>
    </row>
    <row r="42" spans="1:14" x14ac:dyDescent="0.35">
      <c r="M42" s="1978"/>
    </row>
  </sheetData>
  <mergeCells count="10">
    <mergeCell ref="A2:M2"/>
    <mergeCell ref="E3:E4"/>
    <mergeCell ref="A3:A5"/>
    <mergeCell ref="B3:B5"/>
    <mergeCell ref="D3:D5"/>
    <mergeCell ref="F3:I3"/>
    <mergeCell ref="L3:M4"/>
    <mergeCell ref="K3:K4"/>
    <mergeCell ref="J3:J4"/>
    <mergeCell ref="C3:C5"/>
  </mergeCells>
  <printOptions horizontalCentered="1"/>
  <pageMargins left="0.31496062992125984" right="0.31496062992125984" top="0.55118110236220474" bottom="0.55118110236220474" header="0.31496062992125984" footer="0.31496062992125984"/>
  <pageSetup scale="72" orientation="landscape" r:id="rId1"/>
  <headerFooter>
    <oddFooter>&amp;RPage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F562-6129-4A80-AE49-92FD9F29AABF}">
  <dimension ref="A1:J34"/>
  <sheetViews>
    <sheetView topLeftCell="A10" zoomScale="108" zoomScaleNormal="108" workbookViewId="0">
      <selection activeCell="G22" sqref="G22"/>
    </sheetView>
  </sheetViews>
  <sheetFormatPr defaultRowHeight="14.5" x14ac:dyDescent="0.35"/>
  <cols>
    <col min="1" max="1" width="7.1796875" customWidth="1"/>
    <col min="2" max="2" width="40.54296875" customWidth="1"/>
    <col min="3" max="3" width="8.36328125" style="2697" customWidth="1"/>
    <col min="4" max="4" width="7.54296875" style="2697" customWidth="1"/>
    <col min="5" max="5" width="8.90625" style="2697" customWidth="1"/>
    <col min="6" max="7" width="12.6328125" style="2697" customWidth="1"/>
    <col min="8" max="8" width="24.81640625" customWidth="1"/>
  </cols>
  <sheetData>
    <row r="1" spans="1:10" ht="20" x14ac:dyDescent="0.35">
      <c r="A1" s="2011" t="s">
        <v>1301</v>
      </c>
      <c r="B1" s="2011"/>
      <c r="C1" s="2011"/>
      <c r="D1" s="2011"/>
      <c r="E1" s="2011"/>
      <c r="F1" s="2011"/>
      <c r="G1" s="2011"/>
      <c r="H1" s="2011"/>
    </row>
    <row r="2" spans="1:10" ht="20" x14ac:dyDescent="0.35">
      <c r="A2" s="2011" t="s">
        <v>1302</v>
      </c>
      <c r="B2" s="2011"/>
      <c r="C2" s="2011"/>
      <c r="D2" s="2011"/>
      <c r="E2" s="2011"/>
      <c r="F2" s="2011"/>
      <c r="G2" s="2011"/>
      <c r="H2" s="2011"/>
      <c r="I2" s="1199"/>
    </row>
    <row r="3" spans="1:10" ht="14.5" customHeight="1" x14ac:dyDescent="0.35">
      <c r="A3" s="2012" t="s">
        <v>1083</v>
      </c>
      <c r="B3" s="2012" t="s">
        <v>1261</v>
      </c>
      <c r="C3" s="2014" t="s">
        <v>1262</v>
      </c>
      <c r="D3" s="2016" t="s">
        <v>445</v>
      </c>
      <c r="E3" s="2016" t="s">
        <v>1085</v>
      </c>
      <c r="F3" s="2018" t="s">
        <v>1087</v>
      </c>
      <c r="G3" s="2019"/>
      <c r="H3" s="2020"/>
      <c r="I3" s="1200"/>
    </row>
    <row r="4" spans="1:10" ht="21" customHeight="1" x14ac:dyDescent="0.35">
      <c r="A4" s="2013"/>
      <c r="B4" s="2013"/>
      <c r="C4" s="2015"/>
      <c r="D4" s="2017"/>
      <c r="E4" s="2017"/>
      <c r="F4" s="1745" t="s">
        <v>1521</v>
      </c>
      <c r="G4" s="1201" t="s">
        <v>1522</v>
      </c>
      <c r="H4" s="1201" t="s">
        <v>1602</v>
      </c>
      <c r="I4" s="1202"/>
    </row>
    <row r="5" spans="1:10" ht="23" customHeight="1" x14ac:dyDescent="0.35">
      <c r="A5" s="1203" t="s">
        <v>1263</v>
      </c>
      <c r="B5" s="1207" t="s">
        <v>1300</v>
      </c>
      <c r="C5" s="2692">
        <f>'Overall Summary'!C27</f>
        <v>5</v>
      </c>
      <c r="D5" s="2690">
        <v>9</v>
      </c>
      <c r="E5" s="2690">
        <f>'[1]MDA_Sector Summary'!D8</f>
        <v>20</v>
      </c>
      <c r="F5" s="2693">
        <v>0.43781040100250629</v>
      </c>
      <c r="G5" s="2693">
        <f>'15. Empowerment'!H34</f>
        <v>0.72931604010025053</v>
      </c>
      <c r="H5" s="1205" t="s">
        <v>1605</v>
      </c>
      <c r="I5" s="1209">
        <v>1</v>
      </c>
      <c r="J5" s="1317">
        <v>0.68533333333333335</v>
      </c>
    </row>
    <row r="6" spans="1:10" ht="23" customHeight="1" x14ac:dyDescent="0.35">
      <c r="A6" s="1203" t="s">
        <v>1265</v>
      </c>
      <c r="B6" s="1207" t="s">
        <v>1523</v>
      </c>
      <c r="C6" s="2692">
        <f>'Overall Summary'!C13</f>
        <v>11</v>
      </c>
      <c r="D6" s="2690">
        <v>14</v>
      </c>
      <c r="E6" s="2690">
        <v>27</v>
      </c>
      <c r="F6" s="2693">
        <v>0.28699999999999998</v>
      </c>
      <c r="G6" s="2693">
        <f>'8. Min. of Comm'!H59</f>
        <v>0.44961479680238536</v>
      </c>
      <c r="H6" s="1205" t="s">
        <v>1604</v>
      </c>
      <c r="I6" s="1199">
        <v>2</v>
      </c>
      <c r="J6" s="1317">
        <v>0.51601965451515952</v>
      </c>
    </row>
    <row r="7" spans="1:10" ht="23" customHeight="1" x14ac:dyDescent="0.35">
      <c r="A7" s="1203" t="s">
        <v>1267</v>
      </c>
      <c r="B7" s="1207" t="s">
        <v>1294</v>
      </c>
      <c r="C7" s="2692">
        <f>'Overall Summary'!C24</f>
        <v>1</v>
      </c>
      <c r="D7" s="2690">
        <v>8</v>
      </c>
      <c r="E7" s="2690">
        <v>16</v>
      </c>
      <c r="F7" s="2693">
        <v>0.3633541666666667</v>
      </c>
      <c r="G7" s="2693">
        <f>'18. Min. of Women Affrs'!H34</f>
        <v>0.62036672085080102</v>
      </c>
      <c r="H7" s="1205" t="s">
        <v>1603</v>
      </c>
      <c r="I7" s="1199">
        <v>3</v>
      </c>
      <c r="J7" s="1317">
        <v>0.56356925820340453</v>
      </c>
    </row>
    <row r="8" spans="1:10" ht="23" customHeight="1" x14ac:dyDescent="0.35">
      <c r="A8" s="1203" t="s">
        <v>1269</v>
      </c>
      <c r="B8" s="1207" t="s">
        <v>1288</v>
      </c>
      <c r="C8" s="2692">
        <f>'Overall Summary'!C21</f>
        <v>12</v>
      </c>
      <c r="D8" s="2690">
        <v>6</v>
      </c>
      <c r="E8" s="2690">
        <v>8</v>
      </c>
      <c r="F8" s="2693">
        <v>0.47737777777777773</v>
      </c>
      <c r="G8" s="2693">
        <f>'4. Min. of LG'!H29</f>
        <v>0.70770833333333338</v>
      </c>
      <c r="H8" s="1205" t="s">
        <v>1605</v>
      </c>
      <c r="I8" s="1199">
        <v>4</v>
      </c>
      <c r="J8" s="1317">
        <v>0.64717905445666057</v>
      </c>
    </row>
    <row r="9" spans="1:10" ht="23" customHeight="1" x14ac:dyDescent="0.35">
      <c r="A9" s="1203" t="s">
        <v>1271</v>
      </c>
      <c r="B9" s="1207" t="s">
        <v>1277</v>
      </c>
      <c r="C9" s="2692">
        <f>'Overall Summary'!C14</f>
        <v>1</v>
      </c>
      <c r="D9" s="2690">
        <f>'[1]MDA_Sector Summary'!C43</f>
        <v>31</v>
      </c>
      <c r="E9" s="2690">
        <f>'[1]MDA_Sector Summary'!D43</f>
        <v>47</v>
      </c>
      <c r="F9" s="2693">
        <v>0.36724017384731672</v>
      </c>
      <c r="G9" s="2693">
        <f>'19. Min. of Env'!H71</f>
        <v>0.76182237745230252</v>
      </c>
      <c r="H9" s="1205" t="s">
        <v>1605</v>
      </c>
      <c r="I9" s="1199">
        <v>5</v>
      </c>
      <c r="J9" s="1317">
        <v>0.68881950007762771</v>
      </c>
    </row>
    <row r="10" spans="1:10" ht="23" customHeight="1" x14ac:dyDescent="0.35">
      <c r="A10" s="1203" t="s">
        <v>1273</v>
      </c>
      <c r="B10" s="1207" t="s">
        <v>1272</v>
      </c>
      <c r="C10" s="2692">
        <f>'Overall Summary'!C11</f>
        <v>6</v>
      </c>
      <c r="D10" s="2690">
        <v>10</v>
      </c>
      <c r="E10" s="2690">
        <v>16</v>
      </c>
      <c r="F10" s="2693">
        <v>0.24000000000000002</v>
      </c>
      <c r="G10" s="2693">
        <f>'13. Min. of Basic Edu'!H44</f>
        <v>0.68881950007762771</v>
      </c>
      <c r="H10" s="1205" t="s">
        <v>1603</v>
      </c>
      <c r="I10" s="1199">
        <v>6</v>
      </c>
      <c r="J10" s="1317">
        <v>0.5998809523809524</v>
      </c>
    </row>
    <row r="11" spans="1:10" ht="23" customHeight="1" x14ac:dyDescent="0.35">
      <c r="A11" s="1203" t="s">
        <v>1275</v>
      </c>
      <c r="B11" s="1207" t="s">
        <v>1524</v>
      </c>
      <c r="C11" s="2692">
        <f>'Overall Summary'!C17</f>
        <v>3</v>
      </c>
      <c r="D11" s="2690">
        <v>13</v>
      </c>
      <c r="E11" s="2690">
        <v>23</v>
      </c>
      <c r="F11" s="2693">
        <v>0.50318181818181817</v>
      </c>
      <c r="G11" s="2693">
        <f>'14. Min. of Higher Edu'!H50</f>
        <v>0.93330919705815452</v>
      </c>
      <c r="H11" s="1205" t="s">
        <v>1605</v>
      </c>
      <c r="I11" s="1199">
        <v>7</v>
      </c>
      <c r="J11" s="1317">
        <v>0.44961479680238536</v>
      </c>
    </row>
    <row r="12" spans="1:10" ht="23" customHeight="1" x14ac:dyDescent="0.35">
      <c r="A12" s="1203" t="s">
        <v>1276</v>
      </c>
      <c r="B12" s="1207" t="s">
        <v>1279</v>
      </c>
      <c r="C12" s="2692">
        <f>'Overall Summary'!C15</f>
        <v>3</v>
      </c>
      <c r="D12" s="2690">
        <v>3</v>
      </c>
      <c r="E12" s="2690">
        <v>17</v>
      </c>
      <c r="F12" s="2693">
        <v>0.441</v>
      </c>
      <c r="G12" s="2693">
        <f>'MoF-JIRS'!H25</f>
        <v>0.86473684210526314</v>
      </c>
      <c r="H12" s="1205" t="s">
        <v>1605</v>
      </c>
      <c r="I12" s="1199">
        <v>8</v>
      </c>
      <c r="J12" s="1317">
        <v>0.76182237745230252</v>
      </c>
    </row>
    <row r="13" spans="1:10" ht="23" customHeight="1" x14ac:dyDescent="0.35">
      <c r="A13" s="1203" t="s">
        <v>1278</v>
      </c>
      <c r="B13" s="1207" t="s">
        <v>1298</v>
      </c>
      <c r="C13" s="2692">
        <f>'Overall Summary'!C26</f>
        <v>6</v>
      </c>
      <c r="D13" s="2690">
        <f>'[1]MDA_Sector Summary'!C82</f>
        <v>10</v>
      </c>
      <c r="E13" s="2690">
        <f>'[1]MDA_Sector Summary'!D88</f>
        <v>20</v>
      </c>
      <c r="F13" s="2693">
        <v>0.42499999999999999</v>
      </c>
      <c r="G13" s="2693">
        <f>'16. JigawaInvest'!H34</f>
        <v>0.66296541664962705</v>
      </c>
      <c r="H13" s="1205" t="s">
        <v>1603</v>
      </c>
      <c r="I13" s="1199">
        <v>9</v>
      </c>
      <c r="J13" s="1317">
        <v>0.86473684210526314</v>
      </c>
    </row>
    <row r="14" spans="1:10" ht="23" customHeight="1" x14ac:dyDescent="0.35">
      <c r="A14" s="1203" t="s">
        <v>1280</v>
      </c>
      <c r="B14" s="1207" t="s">
        <v>1526</v>
      </c>
      <c r="C14" s="2692">
        <f>'Overall Summary'!C20</f>
        <v>4</v>
      </c>
      <c r="D14" s="2690">
        <v>10</v>
      </c>
      <c r="E14" s="2690">
        <v>20</v>
      </c>
      <c r="F14" s="2693">
        <v>0.27721461038961037</v>
      </c>
      <c r="G14" s="2693">
        <f>'20. Min. of Land'!H37</f>
        <v>0.45484224259278333</v>
      </c>
      <c r="H14" s="1205" t="s">
        <v>1604</v>
      </c>
      <c r="I14" s="1199">
        <v>10</v>
      </c>
      <c r="J14" s="1317">
        <v>0.65406463902669942</v>
      </c>
    </row>
    <row r="15" spans="1:10" ht="23" customHeight="1" x14ac:dyDescent="0.35">
      <c r="A15" s="1203" t="s">
        <v>1282</v>
      </c>
      <c r="B15" s="1207" t="s">
        <v>1292</v>
      </c>
      <c r="C15" s="2692">
        <f>'Overall Summary'!C23</f>
        <v>4</v>
      </c>
      <c r="D15" s="2690">
        <v>10</v>
      </c>
      <c r="E15" s="2690">
        <f>'[1]MDA_Sector Summary'!D94</f>
        <v>36</v>
      </c>
      <c r="F15" s="2693">
        <v>0.39566666666666667</v>
      </c>
      <c r="G15" s="2693">
        <f>'10. Min. of Water SS'!H49</f>
        <v>0.6378568099282278</v>
      </c>
      <c r="H15" s="1205" t="s">
        <v>1603</v>
      </c>
      <c r="I15" s="1199">
        <v>11</v>
      </c>
      <c r="J15" s="1317">
        <v>0.93330919705815452</v>
      </c>
    </row>
    <row r="16" spans="1:10" ht="23" customHeight="1" x14ac:dyDescent="0.35">
      <c r="A16" s="1203" t="s">
        <v>1283</v>
      </c>
      <c r="B16" s="1207" t="s">
        <v>1296</v>
      </c>
      <c r="C16" s="2692">
        <f>'Overall Summary'!C25</f>
        <v>8</v>
      </c>
      <c r="D16" s="2690">
        <v>1</v>
      </c>
      <c r="E16" s="2690">
        <f>'[1]MDA_Sector Summary'!D98</f>
        <v>7</v>
      </c>
      <c r="F16" s="2693">
        <v>0.31900000000000001</v>
      </c>
      <c r="G16" s="2693">
        <f>'6. Min. of Works'!I16</f>
        <v>0.76428571428571423</v>
      </c>
      <c r="H16" s="1205" t="s">
        <v>1605</v>
      </c>
      <c r="I16" s="1199">
        <v>12</v>
      </c>
      <c r="J16" s="1317">
        <v>0.65038751714677645</v>
      </c>
    </row>
    <row r="17" spans="1:10" ht="23" customHeight="1" x14ac:dyDescent="0.35">
      <c r="A17" s="1203" t="s">
        <v>1284</v>
      </c>
      <c r="B17" s="1207" t="s">
        <v>1290</v>
      </c>
      <c r="C17" s="2692">
        <f>'Overall Summary'!C22</f>
        <v>3</v>
      </c>
      <c r="D17" s="2690">
        <v>3</v>
      </c>
      <c r="E17" s="2690">
        <v>8</v>
      </c>
      <c r="F17" s="2693">
        <v>0.25280000000000002</v>
      </c>
      <c r="G17" s="2693">
        <f>'7. Power'!H14</f>
        <v>0.56083333333333329</v>
      </c>
      <c r="H17" s="1205" t="s">
        <v>1604</v>
      </c>
      <c r="I17" s="1199">
        <v>13</v>
      </c>
      <c r="J17" s="1317">
        <v>0.56943897099069507</v>
      </c>
    </row>
    <row r="18" spans="1:10" ht="23" customHeight="1" x14ac:dyDescent="0.35">
      <c r="A18" s="1203" t="s">
        <v>1286</v>
      </c>
      <c r="B18" s="1206" t="s">
        <v>1266</v>
      </c>
      <c r="C18" s="2692">
        <f>'Overall Summary'!C8</f>
        <v>10</v>
      </c>
      <c r="D18" s="1205">
        <v>4</v>
      </c>
      <c r="E18" s="2690">
        <v>24</v>
      </c>
      <c r="F18" s="2693">
        <v>0.353686338353005</v>
      </c>
      <c r="G18" s="2693">
        <f>'1. OHOS'!H37</f>
        <v>0.51601965451515952</v>
      </c>
      <c r="H18" s="1205" t="s">
        <v>1604</v>
      </c>
      <c r="I18" s="1199">
        <v>14</v>
      </c>
      <c r="J18" s="1317">
        <v>0.45484224259278333</v>
      </c>
    </row>
    <row r="19" spans="1:10" ht="23" customHeight="1" x14ac:dyDescent="0.35">
      <c r="A19" s="1203" t="s">
        <v>1287</v>
      </c>
      <c r="B19" s="1207" t="s">
        <v>1270</v>
      </c>
      <c r="C19" s="2692">
        <f>'Overall Summary'!C10</f>
        <v>5</v>
      </c>
      <c r="D19" s="2690">
        <v>25</v>
      </c>
      <c r="E19" s="2690">
        <v>64</v>
      </c>
      <c r="F19" s="2693">
        <v>0.45500000000000002</v>
      </c>
      <c r="G19" s="2693">
        <f>'9. Min. of Agric'!H98</f>
        <v>0.64717905445666057</v>
      </c>
      <c r="H19" s="1205" t="s">
        <v>1603</v>
      </c>
      <c r="I19" s="1208">
        <v>15</v>
      </c>
      <c r="J19" s="1317">
        <v>0.70770833333333338</v>
      </c>
    </row>
    <row r="20" spans="1:10" ht="23" customHeight="1" x14ac:dyDescent="0.35">
      <c r="A20" s="1203" t="s">
        <v>1289</v>
      </c>
      <c r="B20" s="1207" t="s">
        <v>1268</v>
      </c>
      <c r="C20" s="2692">
        <f>'Overall Summary'!C9</f>
        <v>4</v>
      </c>
      <c r="D20" s="2690">
        <f>'[1]MDA_Sector Summary'!C132</f>
        <v>4</v>
      </c>
      <c r="E20" s="2690">
        <f>'[1]MDA_Sector Summary'!D132</f>
        <v>9</v>
      </c>
      <c r="F20" s="2693">
        <v>0.42</v>
      </c>
      <c r="G20" s="2693">
        <f>'3. Min. of Special Duties'!I28</f>
        <v>0.56356925820340453</v>
      </c>
      <c r="H20" s="1205" t="s">
        <v>1604</v>
      </c>
      <c r="I20" s="1199">
        <v>16</v>
      </c>
      <c r="J20" s="1317">
        <v>0.56083333333333329</v>
      </c>
    </row>
    <row r="21" spans="1:10" ht="23" customHeight="1" x14ac:dyDescent="0.35">
      <c r="A21" s="1203" t="s">
        <v>1291</v>
      </c>
      <c r="B21" s="1207" t="s">
        <v>1274</v>
      </c>
      <c r="C21" s="2692">
        <f>'Overall Summary'!C12</f>
        <v>9</v>
      </c>
      <c r="D21" s="2690">
        <v>7</v>
      </c>
      <c r="E21" s="2690">
        <v>22</v>
      </c>
      <c r="F21" s="2693">
        <v>0.39816161616161622</v>
      </c>
      <c r="G21" s="2693">
        <f>'5. Min. of Budget'!H32</f>
        <v>0.5998809523809524</v>
      </c>
      <c r="H21" s="1205" t="s">
        <v>1603</v>
      </c>
      <c r="I21" s="1199">
        <v>17</v>
      </c>
      <c r="J21" s="1317">
        <v>0.6378568099282278</v>
      </c>
    </row>
    <row r="22" spans="1:10" ht="23" customHeight="1" x14ac:dyDescent="0.35">
      <c r="A22" s="1203" t="s">
        <v>1293</v>
      </c>
      <c r="B22" s="1207" t="s">
        <v>1285</v>
      </c>
      <c r="C22" s="2692">
        <f>'Overall Summary'!C19</f>
        <v>1</v>
      </c>
      <c r="D22" s="2690">
        <v>9</v>
      </c>
      <c r="E22" s="2690">
        <v>29</v>
      </c>
      <c r="F22" s="2693">
        <v>0.414143404488232</v>
      </c>
      <c r="G22" s="2693">
        <f>'21. MoJustice'!H34</f>
        <v>0.56943897099069507</v>
      </c>
      <c r="H22" s="1205" t="s">
        <v>1604</v>
      </c>
      <c r="I22" s="1199">
        <v>18</v>
      </c>
      <c r="J22" s="1317">
        <v>0.62036672085080102</v>
      </c>
    </row>
    <row r="23" spans="1:10" ht="23" customHeight="1" x14ac:dyDescent="0.35">
      <c r="A23" s="1203" t="s">
        <v>1295</v>
      </c>
      <c r="B23" s="1204" t="s">
        <v>1264</v>
      </c>
      <c r="C23" s="2689">
        <f>'Overall Summary'!C7</f>
        <v>1</v>
      </c>
      <c r="D23" s="1205">
        <v>4</v>
      </c>
      <c r="E23" s="2690">
        <v>14</v>
      </c>
      <c r="F23" s="2693">
        <v>0.22222222222222221</v>
      </c>
      <c r="G23" s="2693">
        <f>'Sector_MDAs Summary-Details'!K183</f>
        <v>0.68533333333333335</v>
      </c>
      <c r="H23" s="1205" t="s">
        <v>1603</v>
      </c>
      <c r="I23" s="1199">
        <v>19</v>
      </c>
      <c r="J23" s="1317">
        <v>0.76428571428571423</v>
      </c>
    </row>
    <row r="24" spans="1:10" ht="23" customHeight="1" x14ac:dyDescent="0.35">
      <c r="A24" s="1203" t="s">
        <v>1297</v>
      </c>
      <c r="B24" s="1207" t="s">
        <v>1281</v>
      </c>
      <c r="C24" s="2692">
        <f>'Overall Summary'!C16</f>
        <v>4</v>
      </c>
      <c r="D24" s="2690">
        <f>'[1]MDA_Sector Summary'!C163</f>
        <v>8</v>
      </c>
      <c r="E24" s="2690">
        <f>'[1]MDA_Sector Summary'!D163</f>
        <v>60</v>
      </c>
      <c r="F24" s="2693">
        <v>0.41021999139760101</v>
      </c>
      <c r="G24" s="2693">
        <f>'11. Min. of Health'!H80</f>
        <v>0.65406463902669942</v>
      </c>
      <c r="H24" s="1205" t="s">
        <v>1603</v>
      </c>
      <c r="I24" s="1199">
        <v>20</v>
      </c>
      <c r="J24" s="1317">
        <v>0.66296541664962705</v>
      </c>
    </row>
    <row r="25" spans="1:10" ht="23" customHeight="1" x14ac:dyDescent="0.35">
      <c r="A25" s="1203" t="s">
        <v>1299</v>
      </c>
      <c r="B25" s="1207" t="s">
        <v>1525</v>
      </c>
      <c r="C25" s="2692">
        <f>'Overall Summary'!C18</f>
        <v>1</v>
      </c>
      <c r="D25" s="2690">
        <f>'[1]MDA_Sector Summary'!C171</f>
        <v>6</v>
      </c>
      <c r="E25" s="2690">
        <f>'[1]MDA_Sector Summary'!D171</f>
        <v>26</v>
      </c>
      <c r="F25" s="2693">
        <v>0.45837962962962975</v>
      </c>
      <c r="G25" s="2693">
        <f>'12. Min. of Infor'!H45</f>
        <v>0.65038751714677645</v>
      </c>
      <c r="H25" s="1205" t="s">
        <v>1603</v>
      </c>
      <c r="I25" s="1199">
        <v>21</v>
      </c>
      <c r="J25" s="1317">
        <v>0.72931604010025053</v>
      </c>
    </row>
    <row r="26" spans="1:10" ht="20" thickBot="1" x14ac:dyDescent="0.4">
      <c r="A26" s="1210" t="s">
        <v>1546</v>
      </c>
      <c r="B26" s="1211" t="s">
        <v>1545</v>
      </c>
      <c r="C26" s="2687">
        <f>'Overall Summary'!C28</f>
        <v>0</v>
      </c>
      <c r="D26" s="2691">
        <f t="shared" ref="D26:E26" si="0">SUM(D5:D25)</f>
        <v>195</v>
      </c>
      <c r="E26" s="2691">
        <f t="shared" si="0"/>
        <v>513</v>
      </c>
      <c r="F26" s="2688">
        <v>0.37706946746593661</v>
      </c>
      <c r="G26" s="2688">
        <f>AVERAGE(G5:G25)</f>
        <v>0.65344527164873756</v>
      </c>
      <c r="H26" s="2686" t="s">
        <v>1603</v>
      </c>
      <c r="I26" s="1199"/>
      <c r="J26" s="1317">
        <v>0.65344527164873745</v>
      </c>
    </row>
    <row r="27" spans="1:10" ht="20" thickTop="1" x14ac:dyDescent="0.4">
      <c r="A27" s="1212"/>
      <c r="B27" s="1213"/>
      <c r="C27" s="2694"/>
      <c r="D27" s="2695"/>
      <c r="E27" s="2696"/>
      <c r="F27" s="2696"/>
      <c r="G27" s="2695"/>
      <c r="H27" s="1214"/>
      <c r="I27" s="1199"/>
    </row>
    <row r="34" spans="2:2" x14ac:dyDescent="0.35">
      <c r="B34">
        <f>1109+4556+2202</f>
        <v>7867</v>
      </c>
    </row>
  </sheetData>
  <sortState xmlns:xlrd2="http://schemas.microsoft.com/office/spreadsheetml/2017/richdata2" ref="B5:I25">
    <sortCondition ref="I5:I25"/>
  </sortState>
  <mergeCells count="8">
    <mergeCell ref="A1:H1"/>
    <mergeCell ref="A2:H2"/>
    <mergeCell ref="A3:A4"/>
    <mergeCell ref="B3:B4"/>
    <mergeCell ref="C3:C4"/>
    <mergeCell ref="D3:D4"/>
    <mergeCell ref="E3:E4"/>
    <mergeCell ref="F3:H3"/>
  </mergeCells>
  <printOptions horizontalCentered="1"/>
  <pageMargins left="0.31496062992125984" right="0.31496062992125984" top="0.15748031496062992" bottom="0.15748031496062992" header="0.31496062992125984" footer="0.31496062992125984"/>
  <pageSetup orientation="landscape" r:id="rId1"/>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F247-7FED-4173-9405-38CB5EDC693A}">
  <dimension ref="A1:U213"/>
  <sheetViews>
    <sheetView tabSelected="1" zoomScaleNormal="100" workbookViewId="0">
      <pane xSplit="3" ySplit="5" topLeftCell="D43" activePane="bottomRight" state="frozen"/>
      <selection pane="topRight" activeCell="D1" sqref="D1"/>
      <selection pane="bottomLeft" activeCell="A6" sqref="A6"/>
      <selection pane="bottomRight" activeCell="K45" sqref="K45"/>
    </sheetView>
  </sheetViews>
  <sheetFormatPr defaultRowHeight="14.5" x14ac:dyDescent="0.35"/>
  <cols>
    <col min="1" max="1" width="6" customWidth="1"/>
    <col min="2" max="2" width="46.7265625" customWidth="1"/>
    <col min="3" max="3" width="9.7265625" customWidth="1"/>
    <col min="4" max="4" width="7.453125" customWidth="1"/>
    <col min="5" max="5" width="9.90625" customWidth="1"/>
    <col min="6" max="7" width="9.453125" customWidth="1"/>
    <col min="8" max="8" width="10.453125" customWidth="1"/>
    <col min="9" max="9" width="9.6328125" customWidth="1"/>
    <col min="10" max="10" width="9.6328125" style="1696" customWidth="1"/>
    <col min="11" max="11" width="10.453125" style="1696" customWidth="1"/>
    <col min="12" max="12" width="15.54296875" style="308" customWidth="1"/>
    <col min="13" max="13" width="16.90625" customWidth="1"/>
    <col min="14" max="14" width="18.08984375" customWidth="1"/>
  </cols>
  <sheetData>
    <row r="1" spans="1:21" ht="20" x14ac:dyDescent="0.35">
      <c r="C1" s="1310" t="s">
        <v>1301</v>
      </c>
      <c r="D1" s="1310"/>
      <c r="E1" s="1310"/>
      <c r="F1" s="1310"/>
      <c r="G1" s="1310"/>
      <c r="H1" s="1310"/>
      <c r="I1" s="1310"/>
      <c r="J1" s="1673"/>
    </row>
    <row r="2" spans="1:21" ht="15.5" x14ac:dyDescent="0.35">
      <c r="A2" s="2002" t="s">
        <v>1411</v>
      </c>
      <c r="B2" s="2002"/>
      <c r="C2" s="2002"/>
      <c r="D2" s="2002"/>
      <c r="E2" s="2002"/>
      <c r="F2" s="2002"/>
      <c r="G2" s="2002"/>
      <c r="H2" s="2002"/>
      <c r="I2" s="2002"/>
      <c r="J2" s="2002"/>
      <c r="K2" s="2002"/>
      <c r="L2" s="2002"/>
      <c r="M2" s="939"/>
      <c r="N2" s="1215"/>
      <c r="O2" s="1216"/>
      <c r="P2" s="1216"/>
      <c r="Q2" s="1216"/>
      <c r="R2" s="1216"/>
      <c r="S2" s="1216"/>
      <c r="T2" s="1216"/>
      <c r="U2" s="1216"/>
    </row>
    <row r="3" spans="1:21" ht="15.5" customHeight="1" x14ac:dyDescent="0.35">
      <c r="A3" s="2003" t="s">
        <v>1083</v>
      </c>
      <c r="B3" s="2004" t="s">
        <v>1084</v>
      </c>
      <c r="C3" s="2005" t="s">
        <v>445</v>
      </c>
      <c r="D3" s="2005" t="s">
        <v>1085</v>
      </c>
      <c r="E3" s="2006" t="s">
        <v>1086</v>
      </c>
      <c r="F3" s="2006"/>
      <c r="G3" s="2006"/>
      <c r="H3" s="2006"/>
      <c r="I3" s="1917"/>
      <c r="J3" s="1918"/>
      <c r="K3" s="2007" t="s">
        <v>1087</v>
      </c>
      <c r="L3" s="2008"/>
      <c r="M3" s="2021" t="s">
        <v>1028</v>
      </c>
      <c r="N3" s="1217"/>
      <c r="O3" s="1218"/>
      <c r="P3" s="1218"/>
      <c r="Q3" s="1216"/>
      <c r="R3" s="1216"/>
      <c r="S3" s="1216"/>
      <c r="T3" s="1216"/>
      <c r="U3" s="1216"/>
    </row>
    <row r="4" spans="1:21" ht="39" x14ac:dyDescent="0.35">
      <c r="A4" s="2003"/>
      <c r="B4" s="2004"/>
      <c r="C4" s="2005"/>
      <c r="D4" s="2005"/>
      <c r="E4" s="1916" t="s">
        <v>1088</v>
      </c>
      <c r="F4" s="1916" t="s">
        <v>1089</v>
      </c>
      <c r="G4" s="1916" t="s">
        <v>1090</v>
      </c>
      <c r="H4" s="1916" t="s">
        <v>1091</v>
      </c>
      <c r="I4" s="1916" t="s">
        <v>1092</v>
      </c>
      <c r="J4" s="1814" t="s">
        <v>660</v>
      </c>
      <c r="K4" s="2009"/>
      <c r="L4" s="2010"/>
      <c r="M4" s="2021"/>
      <c r="N4" s="1219" t="s">
        <v>1303</v>
      </c>
      <c r="O4" s="1218"/>
      <c r="P4" s="1218"/>
      <c r="Q4" s="1216"/>
      <c r="R4" s="1216"/>
      <c r="S4" s="1216"/>
      <c r="T4" s="1216"/>
      <c r="U4" s="1216"/>
    </row>
    <row r="5" spans="1:21" ht="15.5" x14ac:dyDescent="0.35">
      <c r="A5" s="2003"/>
      <c r="B5" s="2004"/>
      <c r="C5" s="2005"/>
      <c r="D5" s="2005"/>
      <c r="E5" s="1916" t="s">
        <v>1412</v>
      </c>
      <c r="F5" s="1916" t="s">
        <v>1414</v>
      </c>
      <c r="G5" s="1916" t="s">
        <v>1415</v>
      </c>
      <c r="H5" s="1916" t="s">
        <v>1416</v>
      </c>
      <c r="I5" s="1916" t="s">
        <v>1413</v>
      </c>
      <c r="J5" s="937" t="s">
        <v>1104</v>
      </c>
      <c r="K5" s="937" t="s">
        <v>25</v>
      </c>
      <c r="L5" s="938" t="s">
        <v>1093</v>
      </c>
      <c r="M5" s="2021"/>
      <c r="N5" s="1219"/>
      <c r="O5" s="1218"/>
      <c r="P5" s="1218"/>
      <c r="Q5" s="1216"/>
      <c r="R5" s="1216"/>
      <c r="S5" s="1216"/>
      <c r="T5" s="1216"/>
      <c r="U5" s="1216"/>
    </row>
    <row r="6" spans="1:21" ht="15.5" x14ac:dyDescent="0.35">
      <c r="A6" s="1220"/>
      <c r="B6" s="1221"/>
      <c r="C6" s="1222"/>
      <c r="D6" s="1222"/>
      <c r="E6" s="1222"/>
      <c r="F6" s="1222"/>
      <c r="G6" s="1222"/>
      <c r="H6" s="1222"/>
      <c r="I6" s="1222"/>
      <c r="J6" s="1222"/>
      <c r="K6" s="2674"/>
      <c r="L6" s="1223"/>
      <c r="M6" s="2022" t="s">
        <v>1529</v>
      </c>
      <c r="N6" s="1224"/>
      <c r="O6" s="1216"/>
      <c r="P6" s="1216"/>
      <c r="Q6" s="1216"/>
      <c r="R6" s="1216"/>
      <c r="S6" s="1216"/>
      <c r="T6" s="1216"/>
      <c r="U6" s="1216"/>
    </row>
    <row r="7" spans="1:21" ht="15.5" x14ac:dyDescent="0.35">
      <c r="A7" s="1777"/>
      <c r="B7" s="1778" t="s">
        <v>1528</v>
      </c>
      <c r="C7" s="1779"/>
      <c r="D7" s="1779"/>
      <c r="E7" s="1775"/>
      <c r="F7" s="1775"/>
      <c r="G7" s="1775"/>
      <c r="H7" s="1775"/>
      <c r="I7" s="1775"/>
      <c r="J7" s="1775"/>
      <c r="K7" s="2675"/>
      <c r="L7" s="1776"/>
      <c r="M7" s="2023"/>
      <c r="N7" s="1216"/>
      <c r="O7" s="1216"/>
      <c r="P7" s="1216"/>
      <c r="Q7" s="1216"/>
      <c r="R7" s="1216"/>
      <c r="S7" s="1216"/>
      <c r="T7" s="1216"/>
      <c r="U7" s="1216"/>
    </row>
    <row r="8" spans="1:21" ht="46.5" x14ac:dyDescent="0.35">
      <c r="A8" s="1919">
        <v>1</v>
      </c>
      <c r="B8" s="1780" t="s">
        <v>1304</v>
      </c>
      <c r="C8" s="1780">
        <v>9</v>
      </c>
      <c r="D8" s="1780">
        <v>20</v>
      </c>
      <c r="E8" s="1224">
        <v>5</v>
      </c>
      <c r="F8" s="1224">
        <v>5</v>
      </c>
      <c r="G8" s="1224">
        <v>2</v>
      </c>
      <c r="H8" s="1224">
        <v>5</v>
      </c>
      <c r="I8" s="1224">
        <v>2</v>
      </c>
      <c r="J8" s="1222">
        <v>1</v>
      </c>
      <c r="K8" s="2676">
        <f>'15. Empowerment'!H34</f>
        <v>0.72931604010025053</v>
      </c>
      <c r="L8" s="1776" t="s">
        <v>1597</v>
      </c>
      <c r="M8" s="2023"/>
      <c r="N8" s="1216"/>
      <c r="O8" s="1216"/>
      <c r="P8" s="1216"/>
      <c r="Q8" s="1216"/>
      <c r="R8" s="1216"/>
      <c r="S8" s="1216"/>
      <c r="T8" s="1216"/>
      <c r="U8" s="1216"/>
    </row>
    <row r="9" spans="1:21" ht="23.5" thickBot="1" x14ac:dyDescent="0.4">
      <c r="A9" s="1232"/>
      <c r="B9" s="1233"/>
      <c r="C9" s="1233">
        <f>C8</f>
        <v>9</v>
      </c>
      <c r="D9" s="1233">
        <f t="shared" ref="D9:K9" si="0">D8</f>
        <v>20</v>
      </c>
      <c r="E9" s="1233">
        <f t="shared" si="0"/>
        <v>5</v>
      </c>
      <c r="F9" s="1233">
        <f t="shared" si="0"/>
        <v>5</v>
      </c>
      <c r="G9" s="1233">
        <f t="shared" si="0"/>
        <v>2</v>
      </c>
      <c r="H9" s="1233">
        <f t="shared" si="0"/>
        <v>5</v>
      </c>
      <c r="I9" s="1233">
        <f t="shared" si="0"/>
        <v>2</v>
      </c>
      <c r="J9" s="1232">
        <f t="shared" si="0"/>
        <v>1</v>
      </c>
      <c r="K9" s="2677">
        <f t="shared" si="0"/>
        <v>0.72931604010025053</v>
      </c>
      <c r="L9" s="1940" t="s">
        <v>1550</v>
      </c>
      <c r="M9" s="2024"/>
      <c r="N9" s="1216"/>
      <c r="O9" s="1216"/>
      <c r="P9" s="1216"/>
      <c r="Q9" s="1216"/>
      <c r="R9" s="1216"/>
      <c r="S9" s="1216"/>
      <c r="T9" s="1216"/>
      <c r="U9" s="1216"/>
    </row>
    <row r="10" spans="1:21" ht="16" thickTop="1" x14ac:dyDescent="0.35">
      <c r="A10" s="1225"/>
      <c r="B10" s="1225"/>
      <c r="C10" s="1225"/>
      <c r="D10" s="1225"/>
      <c r="E10" s="1235"/>
      <c r="F10" s="1235"/>
      <c r="G10" s="1235"/>
      <c r="H10" s="1235"/>
      <c r="I10" s="1235"/>
      <c r="J10" s="1235"/>
      <c r="K10" s="2638"/>
      <c r="L10" s="1941"/>
      <c r="M10" s="1237"/>
      <c r="N10" s="1225"/>
      <c r="O10" s="1216"/>
      <c r="P10" s="1216"/>
      <c r="Q10" s="1216"/>
      <c r="R10" s="1216"/>
      <c r="S10" s="1216"/>
      <c r="T10" s="1216"/>
      <c r="U10" s="1216"/>
    </row>
    <row r="11" spans="1:21" ht="15.5" x14ac:dyDescent="0.35">
      <c r="A11" s="1225"/>
      <c r="B11" s="1226" t="s">
        <v>1575</v>
      </c>
      <c r="C11" s="1226"/>
      <c r="D11" s="1216"/>
      <c r="E11" s="1215"/>
      <c r="F11" s="1215"/>
      <c r="G11" s="1215"/>
      <c r="H11" s="1215"/>
      <c r="I11" s="1215"/>
      <c r="J11" s="1235"/>
      <c r="K11" s="2638"/>
      <c r="L11" s="1230"/>
      <c r="M11" s="1228"/>
      <c r="N11" s="1216"/>
      <c r="O11" s="1216"/>
      <c r="P11" s="1216"/>
      <c r="Q11" s="1216"/>
      <c r="R11" s="1216"/>
      <c r="S11" s="1216"/>
      <c r="T11" s="1216"/>
      <c r="U11" s="1216"/>
    </row>
    <row r="12" spans="1:21" ht="23" x14ac:dyDescent="0.35">
      <c r="A12" s="1238">
        <v>1</v>
      </c>
      <c r="B12" s="1239" t="s">
        <v>1306</v>
      </c>
      <c r="C12" s="1240">
        <v>4</v>
      </c>
      <c r="D12" s="1241">
        <v>6</v>
      </c>
      <c r="E12" s="1242">
        <v>1</v>
      </c>
      <c r="F12" s="1242">
        <v>2</v>
      </c>
      <c r="G12" s="1242">
        <v>0</v>
      </c>
      <c r="H12" s="1242">
        <v>1</v>
      </c>
      <c r="I12" s="1242">
        <v>2</v>
      </c>
      <c r="J12" s="1678">
        <v>0</v>
      </c>
      <c r="K12" s="2630">
        <f>'8. Min. of Comm'!I14</f>
        <v>0.56199472728949895</v>
      </c>
      <c r="L12" s="1230" t="s">
        <v>1531</v>
      </c>
      <c r="M12" s="1981">
        <f>D12-E12-F12-G12-H12-I12-J12</f>
        <v>0</v>
      </c>
      <c r="N12" s="1216"/>
      <c r="O12" s="1216"/>
      <c r="P12" s="1216"/>
      <c r="Q12" s="1216"/>
      <c r="R12" s="1216"/>
      <c r="S12" s="1216"/>
      <c r="T12" s="1216"/>
      <c r="U12" s="1216"/>
    </row>
    <row r="13" spans="1:21" ht="23" x14ac:dyDescent="0.35">
      <c r="A13" s="1238">
        <v>2</v>
      </c>
      <c r="B13" s="1229" t="s">
        <v>1307</v>
      </c>
      <c r="C13" s="1240">
        <v>3</v>
      </c>
      <c r="D13" s="1241">
        <v>9</v>
      </c>
      <c r="E13" s="1242">
        <v>1</v>
      </c>
      <c r="F13" s="1242">
        <v>1</v>
      </c>
      <c r="G13" s="1242">
        <v>0</v>
      </c>
      <c r="H13" s="1242">
        <v>0</v>
      </c>
      <c r="I13" s="1242">
        <v>5</v>
      </c>
      <c r="J13" s="1678">
        <v>2</v>
      </c>
      <c r="K13" s="2630">
        <f>'8. Min. of Comm'!I25</f>
        <v>0.32124516806722692</v>
      </c>
      <c r="L13" s="1230" t="s">
        <v>1548</v>
      </c>
      <c r="M13" s="1981">
        <f t="shared" ref="M13:M22" si="1">D13-E13-F13-G13-H13-I13-J13</f>
        <v>0</v>
      </c>
      <c r="N13" s="1225"/>
      <c r="O13" s="1216"/>
      <c r="P13" s="1225"/>
      <c r="Q13" s="1225"/>
      <c r="R13" s="1216"/>
      <c r="S13" s="1216"/>
      <c r="T13" s="1216"/>
      <c r="U13" s="1216"/>
    </row>
    <row r="14" spans="1:21" ht="15.5" x14ac:dyDescent="0.35">
      <c r="A14" s="1238">
        <v>3</v>
      </c>
      <c r="B14" s="1229" t="s">
        <v>1308</v>
      </c>
      <c r="C14" s="1240">
        <v>1</v>
      </c>
      <c r="D14" s="1241">
        <v>2</v>
      </c>
      <c r="E14" s="1242">
        <v>0</v>
      </c>
      <c r="F14" s="1242">
        <v>0</v>
      </c>
      <c r="G14" s="1242">
        <v>0</v>
      </c>
      <c r="H14" s="1242">
        <v>0</v>
      </c>
      <c r="I14" s="1242">
        <v>0</v>
      </c>
      <c r="J14" s="1678">
        <v>2</v>
      </c>
      <c r="K14" s="2630" t="str">
        <f>'8. Min. of Comm'!I29</f>
        <v>NA</v>
      </c>
      <c r="L14" s="1230" t="s">
        <v>660</v>
      </c>
      <c r="M14" s="1981">
        <f t="shared" si="1"/>
        <v>0</v>
      </c>
      <c r="N14" s="1225"/>
      <c r="O14" s="1216"/>
      <c r="P14" s="1225"/>
      <c r="Q14" s="1225"/>
      <c r="R14" s="1216"/>
      <c r="S14" s="1216"/>
      <c r="T14" s="1216"/>
      <c r="U14" s="1216"/>
    </row>
    <row r="15" spans="1:21" ht="23" x14ac:dyDescent="0.35">
      <c r="A15" s="1238">
        <v>4</v>
      </c>
      <c r="B15" s="1229" t="s">
        <v>1309</v>
      </c>
      <c r="C15" s="1240">
        <v>1</v>
      </c>
      <c r="D15" s="1241">
        <v>2</v>
      </c>
      <c r="E15" s="1242">
        <v>0</v>
      </c>
      <c r="F15" s="1242">
        <v>2</v>
      </c>
      <c r="G15" s="1242">
        <v>0</v>
      </c>
      <c r="H15" s="1242">
        <v>0</v>
      </c>
      <c r="I15" s="1242">
        <v>0</v>
      </c>
      <c r="J15" s="1678">
        <v>0</v>
      </c>
      <c r="K15" s="2630">
        <f>'8. Min. of Comm'!I33</f>
        <v>0.82465008832721831</v>
      </c>
      <c r="L15" s="1230" t="s">
        <v>1544</v>
      </c>
      <c r="M15" s="1981">
        <f t="shared" si="1"/>
        <v>0</v>
      </c>
      <c r="N15" s="1225"/>
      <c r="O15" s="1216"/>
      <c r="P15" s="1225"/>
      <c r="Q15" s="1225"/>
      <c r="R15" s="1216"/>
      <c r="S15" s="1216"/>
      <c r="T15" s="1216"/>
      <c r="U15" s="1216"/>
    </row>
    <row r="16" spans="1:21" ht="15.5" x14ac:dyDescent="0.35">
      <c r="A16" s="1238">
        <v>5</v>
      </c>
      <c r="B16" s="1229" t="s">
        <v>1310</v>
      </c>
      <c r="C16" s="1240">
        <v>1</v>
      </c>
      <c r="D16" s="1241">
        <v>2</v>
      </c>
      <c r="E16" s="1242">
        <v>2</v>
      </c>
      <c r="F16" s="1242">
        <v>0</v>
      </c>
      <c r="G16" s="1242">
        <v>0</v>
      </c>
      <c r="H16" s="1242">
        <v>0</v>
      </c>
      <c r="I16" s="1242">
        <v>0</v>
      </c>
      <c r="J16" s="1678">
        <v>0</v>
      </c>
      <c r="K16" s="2678">
        <f>'8. Min. of Comm'!I37</f>
        <v>1.01</v>
      </c>
      <c r="L16" s="1230" t="s">
        <v>1549</v>
      </c>
      <c r="M16" s="1981">
        <f t="shared" si="1"/>
        <v>0</v>
      </c>
      <c r="N16" s="1225"/>
      <c r="O16" s="1216"/>
      <c r="P16" s="1225"/>
      <c r="Q16" s="1225"/>
      <c r="R16" s="1216"/>
      <c r="S16" s="1216"/>
      <c r="T16" s="1216"/>
      <c r="U16" s="1216"/>
    </row>
    <row r="17" spans="1:21" ht="31" x14ac:dyDescent="0.35">
      <c r="A17" s="1238">
        <v>6</v>
      </c>
      <c r="B17" s="1229" t="s">
        <v>1311</v>
      </c>
      <c r="C17" s="1240">
        <v>2</v>
      </c>
      <c r="D17" s="1241">
        <v>2</v>
      </c>
      <c r="E17" s="1242">
        <v>0</v>
      </c>
      <c r="F17" s="1242">
        <v>1</v>
      </c>
      <c r="G17" s="1242"/>
      <c r="H17" s="1242">
        <v>0</v>
      </c>
      <c r="I17" s="1242">
        <v>1</v>
      </c>
      <c r="J17" s="1678">
        <v>0</v>
      </c>
      <c r="K17" s="2630">
        <f>'8. Min. of Comm'!I41</f>
        <v>0.45</v>
      </c>
      <c r="L17" s="1230" t="s">
        <v>1531</v>
      </c>
      <c r="M17" s="1981">
        <f t="shared" si="1"/>
        <v>0</v>
      </c>
      <c r="N17" s="1225"/>
      <c r="O17" s="1216"/>
      <c r="P17" s="1225"/>
      <c r="Q17" s="1225"/>
      <c r="R17" s="1216"/>
      <c r="S17" s="1216"/>
      <c r="T17" s="1216"/>
      <c r="U17" s="1216"/>
    </row>
    <row r="18" spans="1:21" ht="53" customHeight="1" x14ac:dyDescent="0.35">
      <c r="A18" s="1238">
        <v>7</v>
      </c>
      <c r="B18" s="1229" t="s">
        <v>1312</v>
      </c>
      <c r="C18" s="1240">
        <v>2</v>
      </c>
      <c r="D18" s="1241">
        <v>2</v>
      </c>
      <c r="E18" s="1242">
        <v>0</v>
      </c>
      <c r="F18" s="1242">
        <v>0</v>
      </c>
      <c r="G18" s="1242">
        <v>0</v>
      </c>
      <c r="H18" s="1242">
        <v>0</v>
      </c>
      <c r="I18" s="1242">
        <v>2</v>
      </c>
      <c r="J18" s="1678">
        <v>0</v>
      </c>
      <c r="K18" s="2630">
        <f>'8. Min. of Comm'!I45</f>
        <v>0</v>
      </c>
      <c r="L18" s="1230" t="s">
        <v>1548</v>
      </c>
      <c r="M18" s="1981">
        <f t="shared" si="1"/>
        <v>0</v>
      </c>
      <c r="N18" s="1225"/>
      <c r="O18" s="1216"/>
      <c r="P18" s="1225"/>
      <c r="Q18" s="1225"/>
      <c r="R18" s="1216"/>
      <c r="S18" s="1216"/>
      <c r="T18" s="1216"/>
      <c r="U18" s="1216"/>
    </row>
    <row r="19" spans="1:21" ht="31" x14ac:dyDescent="0.35">
      <c r="A19" s="1238">
        <v>8</v>
      </c>
      <c r="B19" s="1229" t="s">
        <v>1313</v>
      </c>
      <c r="C19" s="1240">
        <v>1</v>
      </c>
      <c r="D19" s="1241">
        <v>2</v>
      </c>
      <c r="E19" s="1242">
        <v>0</v>
      </c>
      <c r="F19" s="1242">
        <v>0</v>
      </c>
      <c r="G19" s="1242">
        <v>0</v>
      </c>
      <c r="H19" s="1242">
        <v>0</v>
      </c>
      <c r="I19" s="1242">
        <v>1</v>
      </c>
      <c r="J19" s="1678">
        <v>1</v>
      </c>
      <c r="K19" s="2631">
        <f>'8. Min. of Comm'!$I$49</f>
        <v>0.3</v>
      </c>
      <c r="L19" s="1230" t="s">
        <v>1548</v>
      </c>
      <c r="M19" s="1981">
        <f>D19-E19-F19-G19-H19-K19-J19</f>
        <v>0.7</v>
      </c>
      <c r="N19" s="1225"/>
      <c r="O19" s="1216"/>
      <c r="P19" s="1225"/>
      <c r="Q19" s="1225"/>
      <c r="R19" s="1216"/>
      <c r="S19" s="1216"/>
      <c r="T19" s="1216"/>
      <c r="U19" s="1216"/>
    </row>
    <row r="20" spans="1:21" ht="46.5" x14ac:dyDescent="0.35">
      <c r="A20" s="1238">
        <v>9</v>
      </c>
      <c r="B20" s="1229" t="s">
        <v>1456</v>
      </c>
      <c r="C20" s="1240">
        <v>2</v>
      </c>
      <c r="D20" s="1241">
        <v>2</v>
      </c>
      <c r="E20" s="1242">
        <v>0</v>
      </c>
      <c r="F20" s="1242">
        <v>0</v>
      </c>
      <c r="G20" s="1242">
        <v>0</v>
      </c>
      <c r="H20" s="1242">
        <v>0</v>
      </c>
      <c r="I20" s="1242">
        <v>2</v>
      </c>
      <c r="J20" s="1678">
        <v>0</v>
      </c>
      <c r="K20" s="2630">
        <f>'8. Min. of Comm'!I53</f>
        <v>0.43333333333333335</v>
      </c>
      <c r="L20" s="1230" t="s">
        <v>1531</v>
      </c>
      <c r="M20" s="1981">
        <f t="shared" si="1"/>
        <v>0</v>
      </c>
      <c r="N20" s="1225"/>
      <c r="O20" s="1216"/>
      <c r="P20" s="1225"/>
      <c r="Q20" s="1225"/>
      <c r="R20" s="1216"/>
      <c r="S20" s="1216"/>
      <c r="T20" s="1216"/>
      <c r="U20" s="1216"/>
    </row>
    <row r="21" spans="1:21" ht="46.5" x14ac:dyDescent="0.35">
      <c r="A21" s="1238">
        <v>10</v>
      </c>
      <c r="B21" s="1229" t="s">
        <v>1458</v>
      </c>
      <c r="C21" s="1240">
        <v>2</v>
      </c>
      <c r="D21" s="1241">
        <v>2</v>
      </c>
      <c r="E21" s="1242">
        <v>0</v>
      </c>
      <c r="F21" s="1242">
        <v>0</v>
      </c>
      <c r="G21" s="1242">
        <v>0</v>
      </c>
      <c r="H21" s="1242">
        <v>0</v>
      </c>
      <c r="I21" s="1242">
        <v>2</v>
      </c>
      <c r="J21" s="1678">
        <v>0</v>
      </c>
      <c r="K21" s="2630">
        <f>'8. Min. of Comm'!I58</f>
        <v>0.16666666666666666</v>
      </c>
      <c r="L21" s="1230" t="s">
        <v>1548</v>
      </c>
      <c r="M21" s="1981">
        <f t="shared" si="1"/>
        <v>0</v>
      </c>
      <c r="N21" s="1225"/>
      <c r="O21" s="1216"/>
      <c r="P21" s="1225"/>
      <c r="Q21" s="1225"/>
      <c r="R21" s="1216"/>
      <c r="S21" s="1216"/>
      <c r="T21" s="1216"/>
      <c r="U21" s="1216"/>
    </row>
    <row r="22" spans="1:21" ht="23.5" thickBot="1" x14ac:dyDescent="0.4">
      <c r="A22" s="1920"/>
      <c r="B22" s="1921"/>
      <c r="C22" s="1922">
        <f>SUM(C12:C21)</f>
        <v>19</v>
      </c>
      <c r="D22" s="1922">
        <f>SUM(D12:D21)</f>
        <v>31</v>
      </c>
      <c r="E22" s="1922">
        <f>SUM(E12:E21)</f>
        <v>4</v>
      </c>
      <c r="F22" s="1922">
        <f>SUM(F12:F21)</f>
        <v>6</v>
      </c>
      <c r="G22" s="1922">
        <f>SUM(G12:G21)</f>
        <v>0</v>
      </c>
      <c r="H22" s="1922">
        <f>SUM(H12:H21)</f>
        <v>1</v>
      </c>
      <c r="I22" s="1922">
        <f>SUM(I12:I21)</f>
        <v>15</v>
      </c>
      <c r="J22" s="1922">
        <f>SUM(J12:J21)</f>
        <v>5</v>
      </c>
      <c r="K22" s="2679">
        <f>'8. Min. of Comm'!H59</f>
        <v>0.44961479680238536</v>
      </c>
      <c r="L22" s="1244" t="s">
        <v>1531</v>
      </c>
      <c r="M22" s="1981">
        <f t="shared" si="1"/>
        <v>0</v>
      </c>
      <c r="N22" s="1225"/>
      <c r="O22" s="1216"/>
      <c r="P22" s="1225"/>
      <c r="Q22" s="1225"/>
      <c r="R22" s="1216"/>
      <c r="S22" s="1216"/>
      <c r="T22" s="1216"/>
      <c r="U22" s="1216"/>
    </row>
    <row r="23" spans="1:21" ht="15.5" x14ac:dyDescent="0.35">
      <c r="A23" s="1225"/>
      <c r="B23" s="1923"/>
      <c r="C23" s="1225"/>
      <c r="D23" s="1225"/>
      <c r="E23" s="1235"/>
      <c r="F23" s="1235"/>
      <c r="G23" s="1235"/>
      <c r="H23" s="1235"/>
      <c r="I23" s="1235"/>
      <c r="J23" s="1235"/>
      <c r="K23" s="2638"/>
      <c r="L23" s="1941"/>
      <c r="M23" s="1237"/>
      <c r="N23" s="1225"/>
      <c r="O23" s="1216"/>
      <c r="P23" s="1225"/>
      <c r="Q23" s="1225"/>
      <c r="R23" s="1216"/>
      <c r="S23" s="1216"/>
      <c r="T23" s="1216"/>
      <c r="U23" s="1216"/>
    </row>
    <row r="24" spans="1:21" ht="15.5" x14ac:dyDescent="0.35">
      <c r="A24" s="1225"/>
      <c r="B24" s="1226" t="s">
        <v>1314</v>
      </c>
      <c r="C24" s="1225"/>
      <c r="D24" s="1225"/>
      <c r="E24" s="1235"/>
      <c r="F24" s="1235"/>
      <c r="G24" s="1235"/>
      <c r="H24" s="1235"/>
      <c r="I24" s="1235"/>
      <c r="J24" s="1235"/>
      <c r="K24" s="2638"/>
      <c r="L24" s="1941"/>
      <c r="M24" s="1237"/>
      <c r="N24" s="1225"/>
      <c r="O24" s="1216"/>
      <c r="P24" s="1225"/>
      <c r="Q24" s="1225"/>
      <c r="R24" s="1216"/>
      <c r="S24" s="1216"/>
      <c r="T24" s="1216"/>
      <c r="U24" s="1216"/>
    </row>
    <row r="25" spans="1:21" ht="31" x14ac:dyDescent="0.35">
      <c r="A25" s="1225">
        <v>1</v>
      </c>
      <c r="B25" s="1239" t="s">
        <v>1315</v>
      </c>
      <c r="C25" s="1240">
        <v>2</v>
      </c>
      <c r="D25" s="1240">
        <v>5</v>
      </c>
      <c r="E25" s="1245">
        <v>1</v>
      </c>
      <c r="F25" s="1245">
        <v>2</v>
      </c>
      <c r="G25" s="1245">
        <v>0</v>
      </c>
      <c r="H25" s="1245">
        <v>1</v>
      </c>
      <c r="I25" s="1245">
        <v>0</v>
      </c>
      <c r="J25" s="1679">
        <v>1</v>
      </c>
      <c r="K25" s="2630">
        <f>'18. Min. of Women Affrs'!I10</f>
        <v>0.79</v>
      </c>
      <c r="L25" s="1230" t="s">
        <v>1609</v>
      </c>
      <c r="M25" s="1228"/>
      <c r="N25" s="1216"/>
      <c r="O25" s="1216"/>
      <c r="P25" s="1216"/>
      <c r="Q25" s="1216"/>
      <c r="R25" s="1216"/>
      <c r="S25" s="1216"/>
      <c r="T25" s="1216"/>
      <c r="U25" s="1216"/>
    </row>
    <row r="26" spans="1:21" ht="31" x14ac:dyDescent="0.35">
      <c r="A26" s="1225">
        <v>2</v>
      </c>
      <c r="B26" s="1229" t="s">
        <v>1316</v>
      </c>
      <c r="C26" s="1240">
        <v>4</v>
      </c>
      <c r="D26" s="1240">
        <v>8</v>
      </c>
      <c r="E26" s="1245">
        <v>3</v>
      </c>
      <c r="F26" s="1245">
        <v>1</v>
      </c>
      <c r="G26" s="1245">
        <v>1</v>
      </c>
      <c r="H26" s="1245">
        <v>1</v>
      </c>
      <c r="I26" s="1245">
        <v>2</v>
      </c>
      <c r="J26" s="1679">
        <v>0</v>
      </c>
      <c r="K26" s="2630">
        <f>'18. Min. of Women Affrs'!I21</f>
        <v>0.67333333333333334</v>
      </c>
      <c r="L26" s="1230" t="s">
        <v>1534</v>
      </c>
      <c r="M26" s="1246"/>
      <c r="N26" s="1216"/>
      <c r="O26" s="1216"/>
      <c r="P26" s="1216"/>
      <c r="Q26" s="1216"/>
      <c r="R26" s="1216"/>
      <c r="S26" s="1216"/>
      <c r="T26" s="1216"/>
      <c r="U26" s="1216"/>
    </row>
    <row r="27" spans="1:21" ht="62" x14ac:dyDescent="0.35">
      <c r="A27" s="1225">
        <v>3</v>
      </c>
      <c r="B27" s="1229" t="s">
        <v>1317</v>
      </c>
      <c r="C27" s="1240">
        <v>1</v>
      </c>
      <c r="D27" s="1240">
        <v>3</v>
      </c>
      <c r="E27" s="1245">
        <v>0</v>
      </c>
      <c r="F27" s="1245">
        <v>0</v>
      </c>
      <c r="G27" s="1245">
        <v>0</v>
      </c>
      <c r="H27" s="1245">
        <v>1</v>
      </c>
      <c r="I27" s="1245">
        <v>2</v>
      </c>
      <c r="J27" s="1679">
        <v>0</v>
      </c>
      <c r="K27" s="2630">
        <f>'18. Min. of Women Affrs'!I27</f>
        <v>0.1627177700348432</v>
      </c>
      <c r="L27" s="1230" t="s">
        <v>1548</v>
      </c>
      <c r="M27" s="1246"/>
      <c r="N27" s="1216"/>
      <c r="O27" s="1216"/>
      <c r="P27" s="1216"/>
      <c r="Q27" s="1216"/>
      <c r="R27" s="1216"/>
      <c r="S27" s="1216"/>
      <c r="T27" s="1216"/>
      <c r="U27" s="1216"/>
    </row>
    <row r="28" spans="1:21" ht="41" customHeight="1" x14ac:dyDescent="0.35">
      <c r="A28" s="1225">
        <v>4</v>
      </c>
      <c r="B28" s="1229" t="s">
        <v>1318</v>
      </c>
      <c r="C28" s="1240">
        <v>1</v>
      </c>
      <c r="D28" s="1240">
        <v>3</v>
      </c>
      <c r="E28" s="1245">
        <v>0</v>
      </c>
      <c r="F28" s="1245">
        <v>1</v>
      </c>
      <c r="G28" s="1245">
        <v>1</v>
      </c>
      <c r="H28" s="1245">
        <v>0</v>
      </c>
      <c r="I28" s="1245">
        <v>0</v>
      </c>
      <c r="J28" s="1679">
        <v>1</v>
      </c>
      <c r="K28" s="2630">
        <f>'18. Min. of Women Affrs'!I33</f>
        <v>0.78149999999999997</v>
      </c>
      <c r="L28" s="1230" t="s">
        <v>1609</v>
      </c>
      <c r="M28" s="1246"/>
      <c r="N28" s="1216"/>
      <c r="O28" s="1216"/>
      <c r="P28" s="1216"/>
      <c r="Q28" s="1216"/>
      <c r="R28" s="1216"/>
      <c r="S28" s="1216"/>
      <c r="T28" s="1216"/>
      <c r="U28" s="1216"/>
    </row>
    <row r="29" spans="1:21" ht="25" customHeight="1" x14ac:dyDescent="0.35">
      <c r="A29" s="1225"/>
      <c r="B29" s="1229"/>
      <c r="C29" s="1240"/>
      <c r="D29" s="1240"/>
      <c r="E29" s="1916" t="s">
        <v>1412</v>
      </c>
      <c r="F29" s="1916" t="s">
        <v>1414</v>
      </c>
      <c r="G29" s="1916" t="s">
        <v>1415</v>
      </c>
      <c r="H29" s="1916" t="s">
        <v>1416</v>
      </c>
      <c r="I29" s="1916" t="s">
        <v>1413</v>
      </c>
      <c r="J29" s="937" t="s">
        <v>1104</v>
      </c>
      <c r="K29" s="2630"/>
      <c r="L29" s="1230"/>
      <c r="M29" s="1246"/>
      <c r="N29" s="1216"/>
      <c r="O29" s="1216"/>
      <c r="P29" s="1216"/>
      <c r="Q29" s="1216"/>
      <c r="R29" s="1216"/>
      <c r="S29" s="1216"/>
      <c r="T29" s="1216"/>
      <c r="U29" s="1216"/>
    </row>
    <row r="30" spans="1:21" ht="46" customHeight="1" thickBot="1" x14ac:dyDescent="0.4">
      <c r="A30" s="1232"/>
      <c r="B30" s="1233"/>
      <c r="C30" s="1247">
        <f>SUM(C25:C28)</f>
        <v>8</v>
      </c>
      <c r="D30" s="1247">
        <f t="shared" ref="D30:J30" si="2">SUM(D25:D28)</f>
        <v>19</v>
      </c>
      <c r="E30" s="1247">
        <f t="shared" si="2"/>
        <v>4</v>
      </c>
      <c r="F30" s="1247">
        <f t="shared" si="2"/>
        <v>4</v>
      </c>
      <c r="G30" s="1247">
        <f t="shared" si="2"/>
        <v>2</v>
      </c>
      <c r="H30" s="1247">
        <f t="shared" si="2"/>
        <v>3</v>
      </c>
      <c r="I30" s="1247">
        <f t="shared" si="2"/>
        <v>4</v>
      </c>
      <c r="J30" s="1680">
        <f t="shared" si="2"/>
        <v>2</v>
      </c>
      <c r="K30" s="2671">
        <f>'18. Min. of Women Affrs'!H34</f>
        <v>0.62036672085080102</v>
      </c>
      <c r="L30" s="1244" t="s">
        <v>1534</v>
      </c>
      <c r="M30" s="1234"/>
      <c r="N30" s="1216"/>
      <c r="O30" s="1216"/>
      <c r="P30" s="1216"/>
      <c r="Q30" s="1216"/>
      <c r="R30" s="1216"/>
      <c r="S30" s="1216"/>
      <c r="T30" s="1216"/>
      <c r="U30" s="1216"/>
    </row>
    <row r="31" spans="1:21" ht="19" customHeight="1" thickTop="1" x14ac:dyDescent="0.35">
      <c r="A31" s="1225"/>
      <c r="B31" s="1216"/>
      <c r="C31" s="1216"/>
      <c r="D31" s="1216"/>
      <c r="E31" s="1215"/>
      <c r="F31" s="1215"/>
      <c r="G31" s="1215"/>
      <c r="H31" s="1215"/>
      <c r="I31" s="1215"/>
      <c r="J31" s="1235"/>
      <c r="K31" s="2638"/>
      <c r="L31" s="1230"/>
      <c r="M31" s="1228"/>
      <c r="N31" s="1216"/>
      <c r="O31" s="1216"/>
      <c r="P31" s="1216"/>
      <c r="Q31" s="1216"/>
      <c r="R31" s="1216"/>
      <c r="S31" s="1216"/>
      <c r="T31" s="1216"/>
      <c r="U31" s="1216"/>
    </row>
    <row r="32" spans="1:21" ht="15.5" x14ac:dyDescent="0.35">
      <c r="A32" s="1225"/>
      <c r="B32" s="1248" t="s">
        <v>1319</v>
      </c>
      <c r="C32" s="1216"/>
      <c r="D32" s="1216"/>
      <c r="E32" s="1215"/>
      <c r="F32" s="1215"/>
      <c r="G32" s="1215"/>
      <c r="H32" s="1215"/>
      <c r="I32" s="1215"/>
      <c r="J32" s="1235"/>
      <c r="K32" s="2638"/>
      <c r="L32" s="1230"/>
      <c r="M32" s="1228"/>
      <c r="N32" s="1216"/>
      <c r="O32" s="1216"/>
      <c r="P32" s="1216"/>
      <c r="Q32" s="1216"/>
      <c r="R32" s="1216"/>
      <c r="S32" s="1216"/>
      <c r="T32" s="1216"/>
      <c r="U32" s="1216"/>
    </row>
    <row r="33" spans="1:21" ht="15.5" x14ac:dyDescent="0.35">
      <c r="A33" s="1249">
        <v>1</v>
      </c>
      <c r="B33" s="1239" t="s">
        <v>1320</v>
      </c>
      <c r="C33" s="1241">
        <v>1</v>
      </c>
      <c r="D33" s="1241">
        <v>1</v>
      </c>
      <c r="E33" s="1245">
        <v>0</v>
      </c>
      <c r="F33" s="1245">
        <v>1</v>
      </c>
      <c r="G33" s="1245">
        <v>0</v>
      </c>
      <c r="H33" s="1245">
        <v>0</v>
      </c>
      <c r="I33" s="1245">
        <v>0</v>
      </c>
      <c r="J33" s="1679">
        <v>0</v>
      </c>
      <c r="K33" s="2672">
        <f>'4. Min. of LG'!I8</f>
        <v>1.01</v>
      </c>
      <c r="L33" s="1230" t="s">
        <v>1596</v>
      </c>
      <c r="M33" s="1228"/>
      <c r="N33" s="1216"/>
      <c r="O33" s="1216"/>
      <c r="P33" s="1216"/>
      <c r="Q33" s="1216"/>
      <c r="R33" s="1216"/>
      <c r="S33" s="1216"/>
      <c r="T33" s="1216"/>
      <c r="U33" s="1216"/>
    </row>
    <row r="34" spans="1:21" ht="31" x14ac:dyDescent="0.35">
      <c r="A34" s="1249">
        <v>2</v>
      </c>
      <c r="B34" s="1229" t="s">
        <v>1321</v>
      </c>
      <c r="C34" s="1241">
        <v>1</v>
      </c>
      <c r="D34" s="1241">
        <v>1</v>
      </c>
      <c r="E34" s="1245">
        <v>0</v>
      </c>
      <c r="F34" s="1245">
        <v>0</v>
      </c>
      <c r="G34" s="1245">
        <v>0</v>
      </c>
      <c r="H34" s="1245">
        <v>1</v>
      </c>
      <c r="I34" s="1245">
        <v>0</v>
      </c>
      <c r="J34" s="1679">
        <v>0</v>
      </c>
      <c r="K34" s="2672">
        <f>'4. Min. of LG'!I13</f>
        <v>0.46</v>
      </c>
      <c r="L34" s="1230" t="s">
        <v>1531</v>
      </c>
      <c r="M34" s="1228"/>
      <c r="N34" s="1216"/>
      <c r="O34" s="1216"/>
      <c r="P34" s="1216"/>
      <c r="Q34" s="1216"/>
      <c r="R34" s="1216"/>
      <c r="S34" s="1216"/>
      <c r="T34" s="1216"/>
      <c r="U34" s="1216"/>
    </row>
    <row r="35" spans="1:21" ht="62" x14ac:dyDescent="0.35">
      <c r="A35" s="1249">
        <v>3</v>
      </c>
      <c r="B35" s="1243" t="s">
        <v>1322</v>
      </c>
      <c r="C35" s="1241">
        <v>1</v>
      </c>
      <c r="D35" s="1241">
        <v>1</v>
      </c>
      <c r="E35" s="1245">
        <v>0</v>
      </c>
      <c r="F35" s="1245">
        <v>0</v>
      </c>
      <c r="G35" s="1245">
        <v>1</v>
      </c>
      <c r="H35" s="1245">
        <v>0</v>
      </c>
      <c r="I35" s="1245">
        <v>0</v>
      </c>
      <c r="J35" s="1679">
        <v>0</v>
      </c>
      <c r="K35" s="2672">
        <f>'4. Min. of LG'!I16</f>
        <v>0.6</v>
      </c>
      <c r="L35" s="1230" t="s">
        <v>1534</v>
      </c>
      <c r="M35" s="1228"/>
      <c r="N35" s="1216"/>
      <c r="O35" s="1216"/>
      <c r="P35" s="1216"/>
      <c r="Q35" s="1216"/>
      <c r="R35" s="1301"/>
      <c r="S35" s="1301"/>
      <c r="T35" s="1301"/>
      <c r="U35" s="1216"/>
    </row>
    <row r="36" spans="1:21" ht="62" x14ac:dyDescent="0.35">
      <c r="A36" s="1249">
        <v>4</v>
      </c>
      <c r="B36" s="1243" t="s">
        <v>1323</v>
      </c>
      <c r="C36" s="1241">
        <v>2</v>
      </c>
      <c r="D36" s="1241">
        <v>2</v>
      </c>
      <c r="E36" s="1245">
        <v>0</v>
      </c>
      <c r="F36" s="1245">
        <v>2</v>
      </c>
      <c r="G36" s="1245">
        <v>0</v>
      </c>
      <c r="H36" s="1245">
        <v>0</v>
      </c>
      <c r="I36" s="1245">
        <v>0</v>
      </c>
      <c r="J36" s="1679">
        <v>0</v>
      </c>
      <c r="K36" s="2672">
        <f>'4. Min. of LG'!I20</f>
        <v>0.83750000000000002</v>
      </c>
      <c r="L36" s="1230" t="s">
        <v>1550</v>
      </c>
      <c r="M36" s="1228"/>
      <c r="N36" s="1216"/>
      <c r="O36" s="1216"/>
      <c r="P36" s="1216"/>
      <c r="Q36" s="1216"/>
      <c r="R36" s="1301"/>
      <c r="S36" s="1301"/>
      <c r="T36" s="1301"/>
      <c r="U36" s="1216"/>
    </row>
    <row r="37" spans="1:21" ht="31" x14ac:dyDescent="0.35">
      <c r="A37" s="1249">
        <v>5</v>
      </c>
      <c r="B37" s="1229" t="s">
        <v>852</v>
      </c>
      <c r="C37" s="1241">
        <v>1</v>
      </c>
      <c r="D37" s="1241">
        <v>3</v>
      </c>
      <c r="E37" s="1245">
        <v>0</v>
      </c>
      <c r="F37" s="1245">
        <v>2</v>
      </c>
      <c r="G37" s="1245">
        <v>0</v>
      </c>
      <c r="H37" s="1245">
        <v>0</v>
      </c>
      <c r="I37" s="1245">
        <v>1</v>
      </c>
      <c r="J37" s="1679">
        <v>0</v>
      </c>
      <c r="K37" s="2672">
        <f>'4. Min. of LG'!I27</f>
        <v>0.63888888888888884</v>
      </c>
      <c r="L37" s="1230" t="s">
        <v>1534</v>
      </c>
      <c r="M37" s="1228"/>
      <c r="N37" s="1216"/>
      <c r="O37" s="1216"/>
      <c r="P37" s="1216"/>
      <c r="Q37" s="1216"/>
      <c r="R37" s="1301"/>
      <c r="S37" s="1301"/>
      <c r="T37" s="1301"/>
      <c r="U37" s="1216"/>
    </row>
    <row r="38" spans="1:21" ht="23.5" thickBot="1" x14ac:dyDescent="0.4">
      <c r="A38" s="1250"/>
      <c r="B38" s="1251"/>
      <c r="C38" s="1324">
        <f>SUM(C33:C37)</f>
        <v>6</v>
      </c>
      <c r="D38" s="1324">
        <f t="shared" ref="D38:J38" si="3">SUM(D33:D37)</f>
        <v>8</v>
      </c>
      <c r="E38" s="1324">
        <f t="shared" si="3"/>
        <v>0</v>
      </c>
      <c r="F38" s="1324">
        <f t="shared" si="3"/>
        <v>5</v>
      </c>
      <c r="G38" s="1324">
        <f t="shared" si="3"/>
        <v>1</v>
      </c>
      <c r="H38" s="1324">
        <f t="shared" si="3"/>
        <v>1</v>
      </c>
      <c r="I38" s="1324">
        <f t="shared" si="3"/>
        <v>1</v>
      </c>
      <c r="J38" s="1681">
        <f t="shared" si="3"/>
        <v>0</v>
      </c>
      <c r="K38" s="2673">
        <f>'4. Min. of LG'!H29</f>
        <v>0.70770833333333338</v>
      </c>
      <c r="L38" s="1244" t="s">
        <v>1550</v>
      </c>
      <c r="M38" s="1234"/>
      <c r="N38" s="1216"/>
      <c r="O38" s="1216"/>
      <c r="P38" s="1216"/>
      <c r="Q38" s="1216"/>
      <c r="R38" s="1301"/>
      <c r="S38" s="1301"/>
      <c r="T38" s="1301"/>
      <c r="U38" s="1216"/>
    </row>
    <row r="39" spans="1:21" ht="16" thickTop="1" x14ac:dyDescent="0.35">
      <c r="A39" s="1225"/>
      <c r="B39" s="1216"/>
      <c r="C39" s="1216"/>
      <c r="D39" s="1216"/>
      <c r="E39" s="1215"/>
      <c r="F39" s="1215"/>
      <c r="G39" s="1215"/>
      <c r="H39" s="1215"/>
      <c r="I39" s="1215"/>
      <c r="J39" s="1235"/>
      <c r="K39" s="2638"/>
      <c r="L39" s="1230"/>
      <c r="M39" s="1228"/>
      <c r="N39" s="1216"/>
      <c r="O39" s="1216"/>
      <c r="P39" s="1216"/>
      <c r="Q39" s="1216"/>
      <c r="R39" s="1301"/>
      <c r="S39" s="1301"/>
      <c r="T39" s="1301"/>
      <c r="U39" s="1216"/>
    </row>
    <row r="40" spans="1:21" ht="15.5" x14ac:dyDescent="0.35">
      <c r="A40" s="1225"/>
      <c r="B40" s="1248" t="s">
        <v>1277</v>
      </c>
      <c r="C40" s="1216"/>
      <c r="D40" s="1216"/>
      <c r="E40" s="1215"/>
      <c r="F40" s="1215"/>
      <c r="G40" s="1215"/>
      <c r="H40" s="1215"/>
      <c r="I40" s="1215"/>
      <c r="J40" s="1235"/>
      <c r="K40" s="2638"/>
      <c r="L40" s="1230"/>
      <c r="M40" s="1228"/>
      <c r="N40" s="1216"/>
      <c r="O40" s="1216"/>
      <c r="P40" s="1216"/>
      <c r="Q40" s="1216"/>
      <c r="R40" s="1301"/>
      <c r="S40" s="1301"/>
      <c r="T40" s="1301"/>
      <c r="U40" s="1216"/>
    </row>
    <row r="41" spans="1:21" ht="31" x14ac:dyDescent="0.35">
      <c r="A41" s="1238">
        <v>1</v>
      </c>
      <c r="B41" s="1239" t="s">
        <v>1324</v>
      </c>
      <c r="C41" s="1253">
        <v>4</v>
      </c>
      <c r="D41" s="1253">
        <v>7</v>
      </c>
      <c r="E41" s="1254">
        <v>3</v>
      </c>
      <c r="F41" s="1254">
        <v>2</v>
      </c>
      <c r="G41" s="1254">
        <v>1</v>
      </c>
      <c r="H41" s="1254">
        <v>1</v>
      </c>
      <c r="I41" s="1254">
        <v>0</v>
      </c>
      <c r="J41" s="1679">
        <v>0</v>
      </c>
      <c r="K41" s="2678">
        <f>'19. Min. of Env'!I13</f>
        <v>0.81721088435374145</v>
      </c>
      <c r="L41" s="1230" t="s">
        <v>1550</v>
      </c>
      <c r="M41" s="1228"/>
      <c r="N41" s="1216"/>
      <c r="O41" s="1216"/>
      <c r="P41" s="1216"/>
      <c r="Q41" s="1216"/>
      <c r="R41" s="1216"/>
      <c r="S41" s="1216"/>
      <c r="T41" s="1216"/>
      <c r="U41" s="1216"/>
    </row>
    <row r="42" spans="1:21" ht="31" x14ac:dyDescent="0.35">
      <c r="A42" s="1238">
        <v>2</v>
      </c>
      <c r="B42" s="1229" t="s">
        <v>1325</v>
      </c>
      <c r="C42" s="1253">
        <v>7</v>
      </c>
      <c r="D42" s="1253">
        <v>7</v>
      </c>
      <c r="E42" s="1254">
        <v>1</v>
      </c>
      <c r="F42" s="1254">
        <v>5</v>
      </c>
      <c r="G42" s="1254">
        <v>0</v>
      </c>
      <c r="H42" s="1254">
        <v>1</v>
      </c>
      <c r="I42" s="1254">
        <v>0</v>
      </c>
      <c r="J42" s="1679">
        <v>0</v>
      </c>
      <c r="K42" s="2678">
        <f>'19. Min. of Env'!I23</f>
        <v>0.89046009801770165</v>
      </c>
      <c r="L42" s="1230" t="s">
        <v>1550</v>
      </c>
      <c r="M42" s="1228"/>
      <c r="N42" s="1216"/>
      <c r="O42" s="1216"/>
      <c r="P42" s="1216"/>
      <c r="Q42" s="1216"/>
      <c r="R42" s="1216"/>
      <c r="S42" s="1216"/>
      <c r="T42" s="1216"/>
      <c r="U42" s="1216"/>
    </row>
    <row r="43" spans="1:21" ht="77.5" x14ac:dyDescent="0.35">
      <c r="A43" s="1238">
        <v>3</v>
      </c>
      <c r="B43" s="1229" t="s">
        <v>1326</v>
      </c>
      <c r="C43" s="1253">
        <v>1</v>
      </c>
      <c r="D43" s="1253">
        <v>3</v>
      </c>
      <c r="E43" s="1255">
        <v>1</v>
      </c>
      <c r="F43" s="1255">
        <v>1</v>
      </c>
      <c r="G43" s="1255">
        <v>0</v>
      </c>
      <c r="H43" s="1255">
        <v>0</v>
      </c>
      <c r="I43" s="1255">
        <v>1</v>
      </c>
      <c r="J43" s="1678">
        <v>0</v>
      </c>
      <c r="K43" s="2678">
        <f>'19. Min. of Env'!I29</f>
        <v>0.78111111111111109</v>
      </c>
      <c r="L43" s="1230"/>
      <c r="M43" s="1228"/>
      <c r="N43" s="1216"/>
      <c r="O43" s="1216"/>
      <c r="P43" s="1216"/>
      <c r="Q43" s="1216"/>
      <c r="R43" s="1216"/>
      <c r="S43" s="1216"/>
      <c r="T43" s="1216"/>
      <c r="U43" s="1216"/>
    </row>
    <row r="44" spans="1:21" ht="46.5" x14ac:dyDescent="0.35">
      <c r="A44" s="1238">
        <v>4</v>
      </c>
      <c r="B44" s="1229" t="s">
        <v>1327</v>
      </c>
      <c r="C44" s="1253">
        <v>12</v>
      </c>
      <c r="D44" s="1253">
        <v>17</v>
      </c>
      <c r="E44" s="1254">
        <v>5</v>
      </c>
      <c r="F44" s="1254">
        <v>7</v>
      </c>
      <c r="G44" s="1254">
        <v>0</v>
      </c>
      <c r="H44" s="1254">
        <v>0</v>
      </c>
      <c r="I44" s="1254">
        <v>4</v>
      </c>
      <c r="J44" s="1679">
        <v>1</v>
      </c>
      <c r="K44" s="2678">
        <f>'19. Min. of Env'!I50</f>
        <v>0.73195768514976745</v>
      </c>
      <c r="L44" s="1230"/>
      <c r="M44" s="1229"/>
      <c r="N44" s="1216"/>
      <c r="O44" s="1216"/>
      <c r="P44" s="1216"/>
      <c r="Q44" s="1216"/>
      <c r="R44" s="1216"/>
      <c r="S44" s="1216"/>
      <c r="T44" s="1216"/>
      <c r="U44" s="1216"/>
    </row>
    <row r="45" spans="1:21" ht="31" x14ac:dyDescent="0.35">
      <c r="A45" s="1238">
        <v>5</v>
      </c>
      <c r="B45" s="1229" t="s">
        <v>1328</v>
      </c>
      <c r="C45" s="1253">
        <v>2</v>
      </c>
      <c r="D45" s="1253">
        <v>4</v>
      </c>
      <c r="E45" s="1254">
        <v>0</v>
      </c>
      <c r="F45" s="1254">
        <v>2</v>
      </c>
      <c r="G45" s="1254">
        <v>2</v>
      </c>
      <c r="H45" s="1254">
        <v>0</v>
      </c>
      <c r="I45" s="1254">
        <v>0</v>
      </c>
      <c r="J45" s="1679">
        <v>0</v>
      </c>
      <c r="K45" s="2678">
        <f>'19. Min. of Env'!$I$57</f>
        <v>0.73511904761904756</v>
      </c>
      <c r="L45" s="1230"/>
      <c r="M45" s="1228"/>
      <c r="N45" s="1216"/>
      <c r="O45" s="1216"/>
      <c r="P45" s="1216"/>
      <c r="Q45" s="1216"/>
      <c r="R45" s="1216"/>
      <c r="S45" s="1216"/>
      <c r="T45" s="1216"/>
      <c r="U45" s="1216"/>
    </row>
    <row r="46" spans="1:21" ht="31" x14ac:dyDescent="0.35">
      <c r="A46" s="1238">
        <v>6</v>
      </c>
      <c r="B46" s="1229" t="s">
        <v>1329</v>
      </c>
      <c r="C46" s="1253">
        <v>5</v>
      </c>
      <c r="D46" s="1253">
        <v>9</v>
      </c>
      <c r="E46" s="1254">
        <v>2</v>
      </c>
      <c r="F46" s="1254">
        <v>4</v>
      </c>
      <c r="G46" s="1254">
        <v>0</v>
      </c>
      <c r="H46" s="1254">
        <v>1</v>
      </c>
      <c r="I46" s="1254">
        <v>2</v>
      </c>
      <c r="J46" s="1679">
        <v>0</v>
      </c>
      <c r="K46" s="2678">
        <f>'19. Min. of Env'!I70</f>
        <v>0.67722222222222217</v>
      </c>
      <c r="L46" s="1230"/>
      <c r="M46" s="1228"/>
      <c r="N46" s="1216"/>
      <c r="O46" s="1216"/>
      <c r="P46" s="1216"/>
      <c r="Q46" s="1216"/>
      <c r="R46" s="1216"/>
      <c r="S46" s="1216"/>
      <c r="T46" s="1216"/>
      <c r="U46" s="1216"/>
    </row>
    <row r="47" spans="1:21" ht="23.5" thickBot="1" x14ac:dyDescent="0.4">
      <c r="A47" s="2025" t="s">
        <v>1330</v>
      </c>
      <c r="B47" s="2025"/>
      <c r="C47" s="1256">
        <f>SUM(C41:C46)</f>
        <v>31</v>
      </c>
      <c r="D47" s="1256">
        <f t="shared" ref="D47:J47" si="4">SUM(D41:D46)</f>
        <v>47</v>
      </c>
      <c r="E47" s="1256">
        <f t="shared" si="4"/>
        <v>12</v>
      </c>
      <c r="F47" s="1256">
        <f t="shared" si="4"/>
        <v>21</v>
      </c>
      <c r="G47" s="1256">
        <f t="shared" si="4"/>
        <v>3</v>
      </c>
      <c r="H47" s="1256">
        <f t="shared" si="4"/>
        <v>3</v>
      </c>
      <c r="I47" s="1256">
        <f t="shared" si="4"/>
        <v>7</v>
      </c>
      <c r="J47" s="1681">
        <f t="shared" si="4"/>
        <v>1</v>
      </c>
      <c r="K47" s="2673">
        <f>'19. Min. of Env'!H71</f>
        <v>0.76182237745230252</v>
      </c>
      <c r="L47" s="1244" t="s">
        <v>1550</v>
      </c>
      <c r="M47" s="1234"/>
      <c r="N47" s="1216"/>
      <c r="O47" s="1216"/>
      <c r="P47" s="1216"/>
      <c r="Q47" s="1216"/>
      <c r="R47" s="1216"/>
      <c r="S47" s="1216"/>
      <c r="T47" s="1216"/>
      <c r="U47" s="1216"/>
    </row>
    <row r="48" spans="1:21" ht="16" thickTop="1" x14ac:dyDescent="0.35">
      <c r="A48" s="1225"/>
      <c r="B48" s="1216"/>
      <c r="C48" s="1216"/>
      <c r="D48" s="1216"/>
      <c r="E48" s="1215"/>
      <c r="F48" s="1215"/>
      <c r="G48" s="1215"/>
      <c r="H48" s="1215"/>
      <c r="I48" s="1215"/>
      <c r="J48" s="1235"/>
      <c r="K48" s="2638"/>
      <c r="L48" s="1230"/>
      <c r="M48" s="1228"/>
      <c r="N48" s="1216"/>
      <c r="O48" s="1216"/>
      <c r="P48" s="1216"/>
      <c r="Q48" s="1216"/>
      <c r="R48" s="1216"/>
      <c r="S48" s="1216"/>
      <c r="T48" s="1216"/>
      <c r="U48" s="1216"/>
    </row>
    <row r="49" spans="1:21" ht="15.5" x14ac:dyDescent="0.35">
      <c r="A49" s="1225"/>
      <c r="B49" s="1257" t="s">
        <v>1272</v>
      </c>
      <c r="C49" s="1216"/>
      <c r="D49" s="1216"/>
      <c r="E49" s="1215"/>
      <c r="F49" s="1215"/>
      <c r="G49" s="1215"/>
      <c r="H49" s="1215"/>
      <c r="I49" s="1215"/>
      <c r="J49" s="1235"/>
      <c r="K49" s="2638"/>
      <c r="L49" s="1230"/>
      <c r="M49" s="1228"/>
      <c r="N49" s="1216"/>
      <c r="O49" s="1216"/>
      <c r="P49" s="1216"/>
      <c r="Q49" s="1216"/>
      <c r="R49" s="1216"/>
      <c r="S49" s="1216"/>
      <c r="T49" s="1216"/>
      <c r="U49" s="1216"/>
    </row>
    <row r="50" spans="1:21" ht="31" x14ac:dyDescent="0.35">
      <c r="A50" s="1225">
        <v>1</v>
      </c>
      <c r="B50" s="1229" t="s">
        <v>1331</v>
      </c>
      <c r="C50" s="1258">
        <v>1</v>
      </c>
      <c r="D50" s="1258">
        <v>1</v>
      </c>
      <c r="E50" s="1245">
        <v>0</v>
      </c>
      <c r="F50" s="1245">
        <v>1</v>
      </c>
      <c r="G50" s="1245">
        <v>0</v>
      </c>
      <c r="H50" s="1245">
        <v>0</v>
      </c>
      <c r="I50" s="1245">
        <v>0</v>
      </c>
      <c r="J50" s="1679">
        <v>0</v>
      </c>
      <c r="K50" s="2672">
        <f>'[2]13. Min. of Basic Edu'!I9</f>
        <v>1</v>
      </c>
      <c r="L50" s="1230"/>
      <c r="M50" s="1228"/>
      <c r="N50" s="1216"/>
      <c r="O50" s="1216"/>
      <c r="P50" s="1216"/>
      <c r="Q50" s="1216"/>
      <c r="R50" s="1216"/>
      <c r="S50" s="1216"/>
      <c r="T50" s="1216"/>
      <c r="U50" s="1216"/>
    </row>
    <row r="51" spans="1:21" ht="46.5" x14ac:dyDescent="0.35">
      <c r="A51" s="1225">
        <v>2</v>
      </c>
      <c r="B51" s="1229" t="s">
        <v>1332</v>
      </c>
      <c r="C51" s="1258">
        <v>1</v>
      </c>
      <c r="D51" s="1258">
        <v>1</v>
      </c>
      <c r="E51" s="1245">
        <v>0</v>
      </c>
      <c r="F51" s="1245">
        <v>1</v>
      </c>
      <c r="G51" s="1245">
        <v>0</v>
      </c>
      <c r="H51" s="1245">
        <v>0</v>
      </c>
      <c r="I51" s="1245">
        <v>0</v>
      </c>
      <c r="J51" s="1679">
        <v>0</v>
      </c>
      <c r="K51" s="2672">
        <f>'[2]13. Min. of Basic Edu'!I12</f>
        <v>1</v>
      </c>
      <c r="L51" s="1230"/>
      <c r="M51" s="1228"/>
      <c r="N51" s="1216"/>
      <c r="O51" s="1216"/>
      <c r="P51" s="1216"/>
      <c r="Q51" s="1216"/>
      <c r="R51" s="1216"/>
      <c r="S51" s="1216"/>
      <c r="T51" s="1216"/>
      <c r="U51" s="1216"/>
    </row>
    <row r="52" spans="1:21" ht="31" x14ac:dyDescent="0.35">
      <c r="A52" s="1225">
        <v>3</v>
      </c>
      <c r="B52" s="1229" t="s">
        <v>1331</v>
      </c>
      <c r="C52" s="1258">
        <v>1</v>
      </c>
      <c r="D52" s="1258">
        <v>2</v>
      </c>
      <c r="E52" s="1245">
        <v>0</v>
      </c>
      <c r="F52" s="1245">
        <v>0</v>
      </c>
      <c r="G52" s="1245">
        <v>0</v>
      </c>
      <c r="H52" s="1245">
        <v>1</v>
      </c>
      <c r="I52" s="1245">
        <v>1</v>
      </c>
      <c r="J52" s="1679">
        <v>0</v>
      </c>
      <c r="K52" s="2672">
        <f>'[2]13. Min. of Basic Edu'!I16</f>
        <v>0.41998525073746312</v>
      </c>
      <c r="L52" s="1230"/>
      <c r="M52" s="1228"/>
      <c r="N52" s="1216"/>
      <c r="O52" s="1216"/>
      <c r="P52" s="1216"/>
      <c r="Q52" s="1216"/>
      <c r="R52" s="1216"/>
      <c r="S52" s="1216"/>
      <c r="T52" s="1216"/>
      <c r="U52" s="1216"/>
    </row>
    <row r="53" spans="1:21" ht="108.5" x14ac:dyDescent="0.35">
      <c r="A53" s="1225">
        <v>4</v>
      </c>
      <c r="B53" s="1229" t="s">
        <v>1333</v>
      </c>
      <c r="C53" s="1258">
        <v>1</v>
      </c>
      <c r="D53" s="1258">
        <v>4</v>
      </c>
      <c r="E53" s="1245">
        <v>1</v>
      </c>
      <c r="F53" s="1245">
        <v>1</v>
      </c>
      <c r="G53" s="1245">
        <v>0</v>
      </c>
      <c r="H53" s="1245"/>
      <c r="I53" s="1245">
        <v>2</v>
      </c>
      <c r="J53" s="1679">
        <v>0</v>
      </c>
      <c r="K53" s="2680">
        <f>'[2]13. Min. of Basic Edu'!I22</f>
        <v>0.43814999999999998</v>
      </c>
      <c r="L53" s="1230"/>
      <c r="M53" s="1228"/>
      <c r="N53" s="1216"/>
      <c r="O53" s="1216"/>
      <c r="P53" s="1216"/>
      <c r="Q53" s="1216"/>
      <c r="R53" s="1216"/>
      <c r="S53" s="1216"/>
      <c r="T53" s="1216"/>
      <c r="U53" s="1216"/>
    </row>
    <row r="54" spans="1:21" ht="46.5" x14ac:dyDescent="0.35">
      <c r="A54" s="1225">
        <v>5</v>
      </c>
      <c r="B54" s="1229" t="s">
        <v>1334</v>
      </c>
      <c r="C54" s="1258">
        <v>1</v>
      </c>
      <c r="D54" s="1258">
        <v>1</v>
      </c>
      <c r="E54" s="1245">
        <v>1</v>
      </c>
      <c r="F54" s="1245">
        <v>0</v>
      </c>
      <c r="G54" s="1245">
        <v>0</v>
      </c>
      <c r="H54" s="1245">
        <v>0</v>
      </c>
      <c r="I54" s="1245">
        <v>0</v>
      </c>
      <c r="J54" s="1679">
        <v>0</v>
      </c>
      <c r="K54" s="2672">
        <f>'[2]13. Min. of Basic Edu'!I25</f>
        <v>1.01</v>
      </c>
      <c r="L54" s="1230"/>
      <c r="M54" s="1228"/>
      <c r="N54" s="1216"/>
      <c r="O54" s="1216"/>
      <c r="P54" s="1216"/>
      <c r="Q54" s="1216"/>
    </row>
    <row r="55" spans="1:21" ht="62" x14ac:dyDescent="0.35">
      <c r="A55" s="1225">
        <v>6</v>
      </c>
      <c r="B55" s="1229" t="s">
        <v>1335</v>
      </c>
      <c r="C55" s="1258">
        <v>2</v>
      </c>
      <c r="D55" s="1258">
        <v>2</v>
      </c>
      <c r="E55" s="1245">
        <v>0</v>
      </c>
      <c r="F55" s="1245">
        <v>0</v>
      </c>
      <c r="G55" s="1245">
        <v>0</v>
      </c>
      <c r="H55" s="1245">
        <v>0</v>
      </c>
      <c r="I55" s="1245">
        <v>2</v>
      </c>
      <c r="J55" s="1682">
        <v>0</v>
      </c>
      <c r="K55" s="2672">
        <f>'[2]13. Min. of Basic Edu'!I29</f>
        <v>2.75E-2</v>
      </c>
      <c r="L55" s="1230"/>
      <c r="M55" s="1228"/>
      <c r="N55" s="1216"/>
      <c r="O55" s="1216"/>
      <c r="P55" s="1216"/>
      <c r="Q55" s="1216"/>
    </row>
    <row r="56" spans="1:21" ht="31" x14ac:dyDescent="0.35">
      <c r="A56" s="1225">
        <v>7</v>
      </c>
      <c r="B56" s="1229" t="s">
        <v>1336</v>
      </c>
      <c r="C56" s="1258">
        <v>1</v>
      </c>
      <c r="D56" s="1258">
        <v>6</v>
      </c>
      <c r="E56" s="1245">
        <v>2</v>
      </c>
      <c r="F56" s="1245">
        <v>3</v>
      </c>
      <c r="G56" s="1245">
        <v>0</v>
      </c>
      <c r="H56" s="1245">
        <v>1</v>
      </c>
      <c r="I56" s="1245">
        <v>0</v>
      </c>
      <c r="J56" s="1679">
        <v>0</v>
      </c>
      <c r="K56" s="2672">
        <f>'[2]13. Min. of Basic Edu'!I37</f>
        <v>0.90333333333333332</v>
      </c>
      <c r="L56" s="1230"/>
      <c r="M56" s="1228"/>
      <c r="N56" s="1216"/>
      <c r="O56" s="1216"/>
      <c r="P56" s="1216"/>
      <c r="Q56" s="1216"/>
    </row>
    <row r="57" spans="1:21" ht="31" x14ac:dyDescent="0.35">
      <c r="A57" s="1225">
        <v>8</v>
      </c>
      <c r="B57" s="1229" t="s">
        <v>1337</v>
      </c>
      <c r="C57" s="1258">
        <v>1</v>
      </c>
      <c r="D57" s="1258">
        <v>1</v>
      </c>
      <c r="E57" s="1245">
        <v>1</v>
      </c>
      <c r="F57" s="1245">
        <v>0</v>
      </c>
      <c r="G57" s="1245">
        <v>0</v>
      </c>
      <c r="H57" s="1245">
        <v>0</v>
      </c>
      <c r="I57" s="1245">
        <v>0</v>
      </c>
      <c r="J57" s="1679">
        <v>0</v>
      </c>
      <c r="K57" s="2672">
        <f>'[2]13. Min. of Basic Edu'!I43</f>
        <v>1.01</v>
      </c>
      <c r="L57" s="1230"/>
      <c r="M57" s="1228"/>
      <c r="N57" s="1216"/>
      <c r="O57" s="1216"/>
      <c r="P57" s="1216"/>
      <c r="Q57" s="1216"/>
    </row>
    <row r="58" spans="1:21" ht="46.5" x14ac:dyDescent="0.35">
      <c r="A58" s="1225">
        <v>9</v>
      </c>
      <c r="B58" s="1229" t="s">
        <v>1338</v>
      </c>
      <c r="C58" s="1258">
        <v>1</v>
      </c>
      <c r="D58" s="1258">
        <v>1</v>
      </c>
      <c r="E58" s="1245">
        <v>1</v>
      </c>
      <c r="F58" s="1245">
        <v>0</v>
      </c>
      <c r="G58" s="1245">
        <v>0</v>
      </c>
      <c r="H58" s="1245">
        <v>0</v>
      </c>
      <c r="I58" s="1245">
        <v>0</v>
      </c>
      <c r="J58" s="1679">
        <v>0</v>
      </c>
      <c r="K58" s="2672">
        <f>'[2]13. Min. of Basic Edu'!I43</f>
        <v>1.01</v>
      </c>
      <c r="L58" s="1230"/>
      <c r="M58" s="1228"/>
      <c r="N58" s="1216"/>
      <c r="O58" s="1216"/>
      <c r="P58" s="1216"/>
      <c r="Q58" s="1216"/>
    </row>
    <row r="59" spans="1:21" ht="23.5" thickBot="1" x14ac:dyDescent="0.4">
      <c r="A59" s="1232"/>
      <c r="B59" s="1252"/>
      <c r="C59" s="1247">
        <f>SUM(C50:C58)</f>
        <v>10</v>
      </c>
      <c r="D59" s="1247">
        <f t="shared" ref="D59:J59" si="5">SUM(D50:D58)</f>
        <v>19</v>
      </c>
      <c r="E59" s="1247">
        <f t="shared" si="5"/>
        <v>6</v>
      </c>
      <c r="F59" s="1247">
        <f t="shared" si="5"/>
        <v>6</v>
      </c>
      <c r="G59" s="1247">
        <f t="shared" si="5"/>
        <v>0</v>
      </c>
      <c r="H59" s="1247">
        <f t="shared" si="5"/>
        <v>2</v>
      </c>
      <c r="I59" s="1247">
        <f t="shared" si="5"/>
        <v>5</v>
      </c>
      <c r="J59" s="1680">
        <f t="shared" si="5"/>
        <v>0</v>
      </c>
      <c r="K59" s="2677">
        <f>'[2]13. Min. of Basic Edu'!H44</f>
        <v>0.68881950007762771</v>
      </c>
      <c r="L59" s="1244" t="s">
        <v>1534</v>
      </c>
      <c r="M59" s="1234"/>
      <c r="N59" s="1216"/>
      <c r="O59" s="1216"/>
      <c r="P59" s="1216"/>
      <c r="Q59" s="1216"/>
    </row>
    <row r="60" spans="1:21" ht="16" thickTop="1" x14ac:dyDescent="0.35">
      <c r="A60" s="1225"/>
      <c r="B60" s="1229"/>
      <c r="C60" s="1258"/>
      <c r="D60" s="1258"/>
      <c r="E60" s="1245"/>
      <c r="F60" s="1245"/>
      <c r="G60" s="1245"/>
      <c r="H60" s="1245"/>
      <c r="I60" s="1245"/>
      <c r="J60" s="1679"/>
      <c r="K60" s="1225"/>
      <c r="L60" s="1230"/>
      <c r="M60" s="1228"/>
      <c r="N60" s="1216"/>
      <c r="O60" s="1216"/>
      <c r="P60" s="1216"/>
      <c r="Q60" s="1216"/>
    </row>
    <row r="61" spans="1:21" ht="15.5" x14ac:dyDescent="0.35">
      <c r="A61" s="1225"/>
      <c r="B61" s="1257" t="s">
        <v>1339</v>
      </c>
      <c r="C61" s="1258"/>
      <c r="D61" s="1258"/>
      <c r="E61" s="1245"/>
      <c r="F61" s="1245"/>
      <c r="G61" s="1245"/>
      <c r="H61" s="1245"/>
      <c r="I61" s="1245"/>
      <c r="J61" s="1679"/>
      <c r="K61" s="1225"/>
      <c r="L61" s="1230"/>
      <c r="M61" s="1228"/>
      <c r="N61" s="1216"/>
      <c r="O61" s="1216"/>
      <c r="P61" s="1216"/>
      <c r="Q61" s="1216"/>
    </row>
    <row r="62" spans="1:21" ht="15.5" x14ac:dyDescent="0.35">
      <c r="A62" s="1225"/>
      <c r="B62" s="1229"/>
      <c r="C62" s="1258"/>
      <c r="D62" s="1258"/>
      <c r="E62" s="1245"/>
      <c r="F62" s="1245"/>
      <c r="G62" s="1245"/>
      <c r="H62" s="1245"/>
      <c r="I62" s="1245"/>
      <c r="J62" s="1679"/>
      <c r="K62" s="1225"/>
      <c r="L62" s="1230"/>
      <c r="M62" s="1228"/>
      <c r="N62" s="1216"/>
      <c r="O62" s="1216"/>
      <c r="P62" s="1216"/>
      <c r="Q62" s="1216"/>
    </row>
    <row r="63" spans="1:21" ht="31" x14ac:dyDescent="0.35">
      <c r="A63" s="1225">
        <v>1</v>
      </c>
      <c r="B63" s="1229" t="s">
        <v>1340</v>
      </c>
      <c r="C63" s="1258">
        <v>1</v>
      </c>
      <c r="D63" s="1258">
        <v>1</v>
      </c>
      <c r="E63" s="1245">
        <v>1</v>
      </c>
      <c r="F63" s="1245">
        <v>0</v>
      </c>
      <c r="G63" s="1245">
        <v>0</v>
      </c>
      <c r="H63" s="1245">
        <v>0</v>
      </c>
      <c r="I63" s="1245">
        <v>0</v>
      </c>
      <c r="J63" s="1679">
        <v>0</v>
      </c>
      <c r="K63" s="2672">
        <f>'[2]14. Min. of Higher Edu'!$I$7</f>
        <v>1.01</v>
      </c>
      <c r="L63" s="1230"/>
      <c r="M63" s="1228"/>
      <c r="N63" s="1216"/>
      <c r="O63" s="1216"/>
      <c r="P63" s="1216"/>
      <c r="Q63" s="1216"/>
    </row>
    <row r="64" spans="1:21" ht="31" x14ac:dyDescent="0.35">
      <c r="A64" s="1225">
        <v>2</v>
      </c>
      <c r="B64" s="1229" t="s">
        <v>1341</v>
      </c>
      <c r="C64" s="1258">
        <v>1</v>
      </c>
      <c r="D64" s="1258">
        <v>1</v>
      </c>
      <c r="E64" s="1245">
        <v>0</v>
      </c>
      <c r="F64" s="1245">
        <v>1</v>
      </c>
      <c r="G64" s="1245">
        <v>0</v>
      </c>
      <c r="H64" s="1245">
        <v>0</v>
      </c>
      <c r="I64" s="1245">
        <v>0</v>
      </c>
      <c r="J64" s="1679">
        <v>0</v>
      </c>
      <c r="K64" s="2672">
        <f>'[2]14. Min. of Higher Edu'!$I$10</f>
        <v>1</v>
      </c>
      <c r="L64" s="1230"/>
      <c r="M64" s="1228"/>
      <c r="N64" s="1216"/>
      <c r="O64" s="1216"/>
      <c r="P64" s="1216"/>
      <c r="Q64" s="1216"/>
    </row>
    <row r="65" spans="1:17" ht="31" x14ac:dyDescent="0.35">
      <c r="A65" s="1225">
        <v>3</v>
      </c>
      <c r="B65" s="1229" t="s">
        <v>1342</v>
      </c>
      <c r="C65" s="1258">
        <v>2</v>
      </c>
      <c r="D65" s="1258">
        <v>2</v>
      </c>
      <c r="E65" s="1245">
        <v>1</v>
      </c>
      <c r="F65" s="1245">
        <v>1</v>
      </c>
      <c r="G65" s="1245">
        <v>0</v>
      </c>
      <c r="H65" s="1245">
        <v>0</v>
      </c>
      <c r="I65" s="1245">
        <v>0</v>
      </c>
      <c r="J65" s="1679">
        <v>0</v>
      </c>
      <c r="K65" s="2672">
        <f>'[2]14. Min. of Higher Edu'!I14</f>
        <v>0.96227272727272717</v>
      </c>
      <c r="L65" s="1230"/>
      <c r="M65" s="1228"/>
      <c r="N65" s="1216"/>
      <c r="O65" s="1216"/>
      <c r="P65" s="1216"/>
      <c r="Q65" s="1216"/>
    </row>
    <row r="66" spans="1:17" ht="31" x14ac:dyDescent="0.35">
      <c r="A66" s="1225">
        <v>4</v>
      </c>
      <c r="B66" s="1229" t="s">
        <v>1343</v>
      </c>
      <c r="C66" s="1258">
        <v>1</v>
      </c>
      <c r="D66" s="1258">
        <v>2</v>
      </c>
      <c r="E66" s="1245">
        <v>2</v>
      </c>
      <c r="F66" s="1245">
        <v>0</v>
      </c>
      <c r="G66" s="1245">
        <v>0</v>
      </c>
      <c r="H66" s="1245">
        <v>0</v>
      </c>
      <c r="I66" s="1245">
        <v>0</v>
      </c>
      <c r="J66" s="1679">
        <v>0</v>
      </c>
      <c r="K66" s="2672">
        <f>'[2]14. Min. of Higher Edu'!I18</f>
        <v>1.01</v>
      </c>
      <c r="L66" s="1230"/>
      <c r="M66" s="1228"/>
      <c r="N66" s="1216"/>
      <c r="O66" s="1216"/>
      <c r="P66" s="1216"/>
      <c r="Q66" s="1216"/>
    </row>
    <row r="67" spans="1:17" ht="46.5" x14ac:dyDescent="0.35">
      <c r="A67" s="1225">
        <v>5</v>
      </c>
      <c r="B67" s="1229" t="s">
        <v>1344</v>
      </c>
      <c r="C67" s="1258">
        <v>1</v>
      </c>
      <c r="D67" s="1258">
        <v>3</v>
      </c>
      <c r="E67" s="1245">
        <v>1</v>
      </c>
      <c r="F67" s="1245">
        <v>2</v>
      </c>
      <c r="G67" s="1245">
        <v>0</v>
      </c>
      <c r="H67" s="1245">
        <v>0</v>
      </c>
      <c r="I67" s="1245">
        <v>0</v>
      </c>
      <c r="J67" s="1679">
        <v>0</v>
      </c>
      <c r="K67" s="2672">
        <f>'[2]14. Min. of Higher Edu'!I23</f>
        <v>1.0033333333333332</v>
      </c>
      <c r="L67" s="1230"/>
      <c r="M67" s="1228"/>
      <c r="N67" s="1216"/>
      <c r="O67" s="1216"/>
      <c r="P67" s="1216"/>
      <c r="Q67" s="1216"/>
    </row>
    <row r="68" spans="1:17" ht="15.5" x14ac:dyDescent="0.35">
      <c r="A68" s="1225">
        <v>6</v>
      </c>
      <c r="B68" s="1229" t="s">
        <v>1345</v>
      </c>
      <c r="C68" s="1258">
        <v>1</v>
      </c>
      <c r="D68" s="1258">
        <v>4</v>
      </c>
      <c r="E68" s="1245">
        <v>2</v>
      </c>
      <c r="F68" s="1245">
        <v>2</v>
      </c>
      <c r="G68" s="1245">
        <v>0</v>
      </c>
      <c r="H68" s="1245">
        <v>0</v>
      </c>
      <c r="I68" s="1245">
        <v>0</v>
      </c>
      <c r="J68" s="1679">
        <v>0</v>
      </c>
      <c r="K68" s="2680">
        <f>'[2]14. Min. of Higher Edu'!I29</f>
        <v>0.98206422018348616</v>
      </c>
      <c r="L68" s="1230"/>
      <c r="M68" s="1231"/>
      <c r="N68" s="1216"/>
      <c r="O68" s="1216"/>
      <c r="P68" s="1216"/>
      <c r="Q68" s="1216"/>
    </row>
    <row r="69" spans="1:17" ht="31" x14ac:dyDescent="0.35">
      <c r="A69" s="1225">
        <v>7</v>
      </c>
      <c r="B69" s="1229" t="s">
        <v>1346</v>
      </c>
      <c r="C69" s="1258">
        <v>2</v>
      </c>
      <c r="D69" s="1258">
        <v>2</v>
      </c>
      <c r="E69" s="1245">
        <v>0</v>
      </c>
      <c r="F69" s="1245">
        <v>1</v>
      </c>
      <c r="G69" s="1245">
        <v>0</v>
      </c>
      <c r="H69" s="1245">
        <v>0</v>
      </c>
      <c r="I69" s="1245">
        <v>0</v>
      </c>
      <c r="J69" s="1679">
        <v>1</v>
      </c>
      <c r="K69" s="2672">
        <f>'[2]14. Min. of Higher Edu'!I33</f>
        <v>1</v>
      </c>
      <c r="L69" s="1230"/>
      <c r="M69" s="1228"/>
      <c r="N69" s="1216"/>
      <c r="O69" s="1216"/>
      <c r="P69" s="1216"/>
      <c r="Q69" s="1216"/>
    </row>
    <row r="70" spans="1:17" ht="31" x14ac:dyDescent="0.35">
      <c r="A70" s="1225">
        <v>8</v>
      </c>
      <c r="B70" s="1229" t="s">
        <v>1347</v>
      </c>
      <c r="C70" s="1258">
        <v>1</v>
      </c>
      <c r="D70" s="1258">
        <v>5</v>
      </c>
      <c r="E70" s="1245">
        <v>2</v>
      </c>
      <c r="F70" s="1245">
        <v>2</v>
      </c>
      <c r="G70" s="1245">
        <v>1</v>
      </c>
      <c r="H70" s="1245">
        <v>0</v>
      </c>
      <c r="I70" s="1245">
        <v>0</v>
      </c>
      <c r="J70" s="1679">
        <v>0</v>
      </c>
      <c r="K70" s="2672">
        <f>'[2]14. Min. of Higher Edu'!$I$40</f>
        <v>0.87799999999999989</v>
      </c>
      <c r="L70" s="1230"/>
      <c r="M70" s="1228"/>
      <c r="N70" s="1216"/>
      <c r="O70" s="1216"/>
      <c r="P70" s="1216"/>
      <c r="Q70" s="1216"/>
    </row>
    <row r="71" spans="1:17" ht="31" x14ac:dyDescent="0.35">
      <c r="A71" s="1225">
        <v>9</v>
      </c>
      <c r="B71" s="1229" t="s">
        <v>1348</v>
      </c>
      <c r="C71" s="1258">
        <v>1</v>
      </c>
      <c r="D71" s="1258">
        <v>1</v>
      </c>
      <c r="E71" s="1245">
        <v>0</v>
      </c>
      <c r="F71" s="1245">
        <v>1</v>
      </c>
      <c r="G71" s="1245">
        <v>0</v>
      </c>
      <c r="H71" s="1245">
        <v>0</v>
      </c>
      <c r="I71" s="1245">
        <v>0</v>
      </c>
      <c r="J71" s="1679">
        <v>0</v>
      </c>
      <c r="K71" s="2672">
        <f>'[2]14. Min. of Higher Edu'!$I$43</f>
        <v>1</v>
      </c>
      <c r="L71" s="1230"/>
      <c r="M71" s="1231"/>
      <c r="N71" s="1216"/>
      <c r="O71" s="1216"/>
      <c r="P71" s="1216"/>
      <c r="Q71" s="1216"/>
    </row>
    <row r="72" spans="1:17" ht="46.5" x14ac:dyDescent="0.35">
      <c r="A72" s="1225">
        <v>10</v>
      </c>
      <c r="B72" s="1229" t="s">
        <v>1349</v>
      </c>
      <c r="C72" s="1258">
        <v>1</v>
      </c>
      <c r="D72" s="1258">
        <v>1</v>
      </c>
      <c r="E72" s="1245">
        <v>0</v>
      </c>
      <c r="F72" s="1245">
        <v>1</v>
      </c>
      <c r="G72" s="1245">
        <v>0</v>
      </c>
      <c r="H72" s="1245">
        <v>0</v>
      </c>
      <c r="I72" s="1245">
        <v>0</v>
      </c>
      <c r="J72" s="1679">
        <v>0</v>
      </c>
      <c r="K72" s="2672">
        <f>'[2]14. Min. of Higher Edu'!I46</f>
        <v>0.75</v>
      </c>
      <c r="L72" s="1230"/>
      <c r="M72" s="1228"/>
      <c r="N72" s="1216"/>
      <c r="O72" s="1216"/>
      <c r="P72" s="1216"/>
      <c r="Q72" s="1216"/>
    </row>
    <row r="73" spans="1:17" ht="46.5" x14ac:dyDescent="0.35">
      <c r="A73" s="1225">
        <v>11</v>
      </c>
      <c r="B73" s="1229" t="s">
        <v>1350</v>
      </c>
      <c r="C73" s="1258">
        <v>1</v>
      </c>
      <c r="D73" s="1258">
        <v>1</v>
      </c>
      <c r="E73" s="1245">
        <v>0</v>
      </c>
      <c r="F73" s="1245">
        <v>0</v>
      </c>
      <c r="G73" s="1245">
        <v>0</v>
      </c>
      <c r="H73" s="1245">
        <v>0</v>
      </c>
      <c r="I73" s="1245">
        <v>1</v>
      </c>
      <c r="J73" s="1679">
        <v>0</v>
      </c>
      <c r="K73" s="2672">
        <f>'[2]14. Min. of Higher Edu'!I49</f>
        <v>0.5</v>
      </c>
      <c r="L73" s="1230"/>
      <c r="M73" s="1228"/>
      <c r="N73" s="1216"/>
      <c r="O73" s="1216"/>
      <c r="P73" s="1216"/>
      <c r="Q73" s="1216"/>
    </row>
    <row r="74" spans="1:17" ht="15.5" x14ac:dyDescent="0.35">
      <c r="A74" s="1225"/>
      <c r="B74" s="1229"/>
      <c r="C74" s="1258"/>
      <c r="D74" s="1258"/>
      <c r="E74" s="1245"/>
      <c r="F74" s="1245"/>
      <c r="G74" s="1245"/>
      <c r="H74" s="1245"/>
      <c r="I74" s="1245"/>
      <c r="J74" s="1679"/>
      <c r="K74" s="2672"/>
      <c r="L74" s="1230"/>
      <c r="M74" s="1228"/>
      <c r="N74" s="1216"/>
      <c r="O74" s="1216"/>
      <c r="P74" s="1216"/>
      <c r="Q74" s="1216"/>
    </row>
    <row r="75" spans="1:17" ht="23.5" thickBot="1" x14ac:dyDescent="0.4">
      <c r="A75" s="1616"/>
      <c r="B75" s="1259"/>
      <c r="C75" s="1260">
        <f>SUM(C63:C74)</f>
        <v>13</v>
      </c>
      <c r="D75" s="1260">
        <f t="shared" ref="D75:J75" si="6">SUM(D63:D74)</f>
        <v>23</v>
      </c>
      <c r="E75" s="1260">
        <f t="shared" si="6"/>
        <v>9</v>
      </c>
      <c r="F75" s="1260">
        <f t="shared" si="6"/>
        <v>11</v>
      </c>
      <c r="G75" s="1260">
        <f t="shared" si="6"/>
        <v>1</v>
      </c>
      <c r="H75" s="1260">
        <f t="shared" si="6"/>
        <v>0</v>
      </c>
      <c r="I75" s="1260">
        <f t="shared" si="6"/>
        <v>1</v>
      </c>
      <c r="J75" s="1683">
        <f t="shared" si="6"/>
        <v>1</v>
      </c>
      <c r="K75" s="2636">
        <f>'[2]14. Min. of Higher Edu'!H50</f>
        <v>0.93330919705815452</v>
      </c>
      <c r="L75" s="1244" t="s">
        <v>1550</v>
      </c>
      <c r="M75" s="1270"/>
      <c r="N75" s="1216"/>
      <c r="O75" s="1216"/>
      <c r="P75" s="1216"/>
      <c r="Q75" s="1216"/>
    </row>
    <row r="76" spans="1:17" ht="16" thickTop="1" x14ac:dyDescent="0.35">
      <c r="A76" s="1225"/>
      <c r="B76" s="1216"/>
      <c r="C76" s="1258"/>
      <c r="D76" s="1258"/>
      <c r="E76" s="1258"/>
      <c r="F76" s="1258"/>
      <c r="G76" s="1258"/>
      <c r="H76" s="1258"/>
      <c r="I76" s="1258"/>
      <c r="J76" s="1684"/>
      <c r="K76" s="1684"/>
      <c r="L76" s="1230"/>
      <c r="M76" s="1228"/>
      <c r="N76" s="1216"/>
      <c r="O76" s="1216"/>
      <c r="P76" s="1216"/>
      <c r="Q76" s="1216"/>
    </row>
    <row r="77" spans="1:17" ht="15.5" x14ac:dyDescent="0.35">
      <c r="A77" s="1225"/>
      <c r="B77" s="1257" t="s">
        <v>1351</v>
      </c>
      <c r="C77" s="1258"/>
      <c r="D77" s="1258"/>
      <c r="E77" s="1258"/>
      <c r="F77" s="1258"/>
      <c r="G77" s="1258"/>
      <c r="H77" s="1258"/>
      <c r="I77" s="1258"/>
      <c r="J77" s="1684"/>
      <c r="K77" s="1684"/>
      <c r="L77" s="1230"/>
      <c r="M77" s="1228"/>
      <c r="N77" s="1216"/>
      <c r="O77" s="1216"/>
      <c r="P77" s="1216"/>
      <c r="Q77" s="1216"/>
    </row>
    <row r="78" spans="1:17" ht="42" x14ac:dyDescent="0.35">
      <c r="A78" s="1261">
        <v>1</v>
      </c>
      <c r="B78" s="1262" t="s">
        <v>1352</v>
      </c>
      <c r="C78" s="1263">
        <v>3</v>
      </c>
      <c r="D78" s="1263">
        <v>18</v>
      </c>
      <c r="E78" s="1614">
        <v>8</v>
      </c>
      <c r="F78" s="1614">
        <v>7</v>
      </c>
      <c r="G78" s="1614">
        <v>0</v>
      </c>
      <c r="H78" s="1614">
        <v>2</v>
      </c>
      <c r="I78" s="1614">
        <v>1</v>
      </c>
      <c r="J78" s="1685">
        <v>0</v>
      </c>
      <c r="K78" s="2637">
        <f>'[2]MoF-JIRS'!H25</f>
        <v>0.86473684210526314</v>
      </c>
      <c r="L78" s="1230"/>
      <c r="M78" s="1264"/>
      <c r="N78" s="1216"/>
      <c r="O78" s="1216"/>
      <c r="P78" s="1216"/>
      <c r="Q78" s="1216"/>
    </row>
    <row r="79" spans="1:17" ht="15.5" x14ac:dyDescent="0.35">
      <c r="A79" s="1225"/>
      <c r="B79" s="1229"/>
      <c r="C79" s="1240"/>
      <c r="D79" s="1258"/>
      <c r="E79" s="1258"/>
      <c r="F79" s="1258"/>
      <c r="G79" s="1258"/>
      <c r="H79" s="1258"/>
      <c r="I79" s="1258"/>
      <c r="J79" s="1684"/>
      <c r="K79" s="1684"/>
      <c r="L79" s="1230"/>
      <c r="M79" s="1246"/>
      <c r="N79" s="1216"/>
      <c r="O79" s="1216"/>
      <c r="P79" s="1216"/>
      <c r="Q79" s="1216"/>
    </row>
    <row r="80" spans="1:17" ht="23.5" thickBot="1" x14ac:dyDescent="0.4">
      <c r="A80" s="1232"/>
      <c r="B80" s="1252"/>
      <c r="C80" s="1256">
        <f t="shared" ref="C80:K80" si="7">C78</f>
        <v>3</v>
      </c>
      <c r="D80" s="1256">
        <f t="shared" si="7"/>
        <v>18</v>
      </c>
      <c r="E80" s="1256">
        <f t="shared" si="7"/>
        <v>8</v>
      </c>
      <c r="F80" s="1256">
        <f t="shared" si="7"/>
        <v>7</v>
      </c>
      <c r="G80" s="1256">
        <f t="shared" si="7"/>
        <v>0</v>
      </c>
      <c r="H80" s="1256">
        <f t="shared" si="7"/>
        <v>2</v>
      </c>
      <c r="I80" s="1256">
        <f t="shared" si="7"/>
        <v>1</v>
      </c>
      <c r="J80" s="1681">
        <f t="shared" si="7"/>
        <v>0</v>
      </c>
      <c r="K80" s="2634">
        <f t="shared" si="7"/>
        <v>0.86473684210526314</v>
      </c>
      <c r="L80" s="1244" t="s">
        <v>1550</v>
      </c>
      <c r="M80" s="1615"/>
      <c r="N80" s="1216"/>
      <c r="O80" s="1216"/>
      <c r="P80" s="1216"/>
      <c r="Q80" s="1216"/>
    </row>
    <row r="81" spans="1:17" ht="16" thickTop="1" x14ac:dyDescent="0.35">
      <c r="A81" s="1225"/>
      <c r="B81" s="1216"/>
      <c r="C81" s="1216"/>
      <c r="D81" s="1216"/>
      <c r="E81" s="1215"/>
      <c r="F81" s="1215"/>
      <c r="G81" s="1215"/>
      <c r="H81" s="1215"/>
      <c r="I81" s="1215"/>
      <c r="J81" s="1235"/>
      <c r="K81" s="1225"/>
      <c r="L81" s="1230"/>
      <c r="M81" s="1228"/>
      <c r="N81" s="1216"/>
      <c r="O81" s="1216"/>
      <c r="P81" s="1216"/>
      <c r="Q81" s="1216"/>
    </row>
    <row r="82" spans="1:17" ht="15.5" x14ac:dyDescent="0.35">
      <c r="A82" s="2002" t="s">
        <v>1411</v>
      </c>
      <c r="B82" s="2002"/>
      <c r="C82" s="2002"/>
      <c r="D82" s="2002"/>
      <c r="E82" s="2002"/>
      <c r="F82" s="2002"/>
      <c r="G82" s="2002"/>
      <c r="H82" s="2002"/>
      <c r="I82" s="2002"/>
      <c r="J82" s="2002"/>
      <c r="K82" s="2002"/>
      <c r="L82" s="2002"/>
      <c r="M82" s="1228"/>
      <c r="N82" s="1216"/>
      <c r="O82" s="1216"/>
      <c r="P82" s="1216"/>
      <c r="Q82" s="1216"/>
    </row>
    <row r="83" spans="1:17" ht="15.5" x14ac:dyDescent="0.35">
      <c r="A83" s="2003" t="s">
        <v>1083</v>
      </c>
      <c r="B83" s="2004" t="s">
        <v>1084</v>
      </c>
      <c r="C83" s="2005" t="s">
        <v>445</v>
      </c>
      <c r="D83" s="2005" t="s">
        <v>1085</v>
      </c>
      <c r="E83" s="2006" t="s">
        <v>1086</v>
      </c>
      <c r="F83" s="2006"/>
      <c r="G83" s="2006"/>
      <c r="H83" s="2006"/>
      <c r="I83" s="1917"/>
      <c r="J83" s="1918"/>
      <c r="K83" s="2007" t="s">
        <v>1087</v>
      </c>
      <c r="L83" s="2008"/>
      <c r="M83" s="1228"/>
      <c r="N83" s="1216"/>
      <c r="O83" s="1216"/>
      <c r="P83" s="1216"/>
      <c r="Q83" s="1216"/>
    </row>
    <row r="84" spans="1:17" ht="39" x14ac:dyDescent="0.35">
      <c r="A84" s="2003"/>
      <c r="B84" s="2004"/>
      <c r="C84" s="2005"/>
      <c r="D84" s="2005"/>
      <c r="E84" s="1916" t="s">
        <v>1088</v>
      </c>
      <c r="F84" s="1916" t="s">
        <v>1089</v>
      </c>
      <c r="G84" s="1916" t="s">
        <v>1090</v>
      </c>
      <c r="H84" s="1916" t="s">
        <v>1091</v>
      </c>
      <c r="I84" s="1916" t="s">
        <v>1092</v>
      </c>
      <c r="J84" s="1814" t="s">
        <v>660</v>
      </c>
      <c r="K84" s="2009"/>
      <c r="L84" s="2010"/>
      <c r="M84" s="1228"/>
      <c r="N84" s="1216"/>
      <c r="O84" s="1216"/>
      <c r="P84" s="1216"/>
      <c r="Q84" s="1216"/>
    </row>
    <row r="85" spans="1:17" ht="15.5" x14ac:dyDescent="0.35">
      <c r="A85" s="2003"/>
      <c r="B85" s="2004"/>
      <c r="C85" s="2005"/>
      <c r="D85" s="2005"/>
      <c r="E85" s="1916" t="s">
        <v>1412</v>
      </c>
      <c r="F85" s="1916" t="s">
        <v>1414</v>
      </c>
      <c r="G85" s="1916" t="s">
        <v>1415</v>
      </c>
      <c r="H85" s="1916" t="s">
        <v>1416</v>
      </c>
      <c r="I85" s="1916" t="s">
        <v>1413</v>
      </c>
      <c r="J85" s="937" t="s">
        <v>1104</v>
      </c>
      <c r="K85" s="937" t="s">
        <v>25</v>
      </c>
      <c r="L85" s="938" t="s">
        <v>1093</v>
      </c>
      <c r="M85" s="1228"/>
      <c r="N85" s="1216"/>
      <c r="O85" s="1216"/>
      <c r="P85" s="1216"/>
      <c r="Q85" s="1216"/>
    </row>
    <row r="86" spans="1:17" ht="15.5" x14ac:dyDescent="0.35">
      <c r="A86" s="1225"/>
      <c r="B86" s="1248" t="s">
        <v>1353</v>
      </c>
      <c r="C86" s="1216"/>
      <c r="D86" s="1216"/>
      <c r="E86" s="1215"/>
      <c r="F86" s="1215"/>
      <c r="G86" s="1215"/>
      <c r="H86" s="1215"/>
      <c r="I86" s="1215"/>
      <c r="J86" s="1235"/>
      <c r="K86" s="1225"/>
      <c r="L86" s="1230"/>
      <c r="M86" s="1228"/>
      <c r="N86" s="1216"/>
      <c r="O86" s="1216"/>
      <c r="P86" s="1216"/>
      <c r="Q86" s="1216"/>
    </row>
    <row r="87" spans="1:17" ht="108.5" x14ac:dyDescent="0.35">
      <c r="A87" s="1225">
        <v>1</v>
      </c>
      <c r="B87" s="1265" t="s">
        <v>1354</v>
      </c>
      <c r="C87" s="1258">
        <v>8</v>
      </c>
      <c r="D87" s="1258">
        <v>18</v>
      </c>
      <c r="E87" s="1245">
        <v>4</v>
      </c>
      <c r="F87" s="1245">
        <v>4</v>
      </c>
      <c r="G87" s="1245">
        <v>0</v>
      </c>
      <c r="H87" s="1245">
        <v>2</v>
      </c>
      <c r="I87" s="1245">
        <v>5</v>
      </c>
      <c r="J87" s="1679">
        <v>3</v>
      </c>
      <c r="K87" s="2638">
        <f>'[2]16. JigawaInvest'!I25</f>
        <v>0.59422516664621916</v>
      </c>
      <c r="L87" s="1230" t="s">
        <v>1531</v>
      </c>
      <c r="M87" s="1228"/>
      <c r="N87" s="1216"/>
      <c r="O87" s="1216"/>
      <c r="P87" s="1216"/>
      <c r="Q87" s="1216"/>
    </row>
    <row r="88" spans="1:17" ht="46.5" x14ac:dyDescent="0.35">
      <c r="A88" s="1225">
        <v>2</v>
      </c>
      <c r="B88" s="1265" t="s">
        <v>1355</v>
      </c>
      <c r="C88" s="1216">
        <v>1</v>
      </c>
      <c r="D88" s="1258">
        <v>3</v>
      </c>
      <c r="E88" s="1245">
        <v>2</v>
      </c>
      <c r="F88" s="1245">
        <v>1</v>
      </c>
      <c r="G88" s="1245">
        <v>0</v>
      </c>
      <c r="H88" s="1245">
        <v>0</v>
      </c>
      <c r="I88" s="1245">
        <v>0</v>
      </c>
      <c r="J88" s="1679">
        <v>0</v>
      </c>
      <c r="K88" s="2632">
        <f>'[2]16. JigawaInvest'!I30</f>
        <v>1.0066666666666666</v>
      </c>
      <c r="L88" s="1230" t="s">
        <v>1572</v>
      </c>
      <c r="M88" s="1228"/>
      <c r="N88" s="1216"/>
      <c r="O88" s="1216"/>
      <c r="P88" s="1216"/>
      <c r="Q88" s="1216"/>
    </row>
    <row r="89" spans="1:17" ht="62" x14ac:dyDescent="0.35">
      <c r="A89" s="1225">
        <v>3</v>
      </c>
      <c r="B89" s="1265" t="s">
        <v>1356</v>
      </c>
      <c r="C89" s="1216">
        <v>1</v>
      </c>
      <c r="D89" s="1258">
        <v>1</v>
      </c>
      <c r="E89" s="1245">
        <v>0</v>
      </c>
      <c r="F89" s="1245">
        <v>0</v>
      </c>
      <c r="G89" s="1245">
        <v>0</v>
      </c>
      <c r="H89" s="1245">
        <v>0</v>
      </c>
      <c r="I89" s="1245">
        <v>0</v>
      </c>
      <c r="J89" s="1679">
        <v>1</v>
      </c>
      <c r="L89" s="1230" t="s">
        <v>660</v>
      </c>
      <c r="M89" s="1228"/>
      <c r="N89" s="1216"/>
      <c r="O89" s="1216"/>
      <c r="P89" s="1216"/>
      <c r="Q89" s="1216"/>
    </row>
    <row r="90" spans="1:17" ht="31.5" thickBot="1" x14ac:dyDescent="0.4">
      <c r="A90" s="1605"/>
      <c r="B90" s="1606" t="s">
        <v>1357</v>
      </c>
      <c r="C90" s="1607">
        <f>SUM(C87:C89)</f>
        <v>10</v>
      </c>
      <c r="D90" s="1607">
        <f t="shared" ref="D90:J90" si="8">SUM(D87:D89)</f>
        <v>22</v>
      </c>
      <c r="E90" s="1607">
        <f t="shared" si="8"/>
        <v>6</v>
      </c>
      <c r="F90" s="1607">
        <f t="shared" si="8"/>
        <v>5</v>
      </c>
      <c r="G90" s="1607">
        <f t="shared" si="8"/>
        <v>0</v>
      </c>
      <c r="H90" s="1607">
        <f t="shared" si="8"/>
        <v>2</v>
      </c>
      <c r="I90" s="1607">
        <f t="shared" si="8"/>
        <v>5</v>
      </c>
      <c r="J90" s="1686">
        <f t="shared" si="8"/>
        <v>4</v>
      </c>
      <c r="K90" s="2639">
        <f>'[2]16. JigawaInvest'!H34</f>
        <v>0.66296541664962705</v>
      </c>
      <c r="L90" s="1308" t="s">
        <v>1534</v>
      </c>
      <c r="M90" s="1266"/>
      <c r="N90" s="1216"/>
      <c r="O90" s="1216"/>
      <c r="P90" s="1216"/>
      <c r="Q90" s="1216"/>
    </row>
    <row r="91" spans="1:17" ht="16" thickTop="1" x14ac:dyDescent="0.35">
      <c r="A91" s="1227"/>
      <c r="B91" s="1227"/>
      <c r="C91" s="1227"/>
      <c r="D91" s="1227"/>
      <c r="E91" s="1227"/>
      <c r="F91" s="1227"/>
      <c r="G91" s="1227"/>
      <c r="H91" s="1227"/>
      <c r="I91" s="1227"/>
      <c r="J91" s="1236"/>
      <c r="K91" s="1236"/>
      <c r="L91" s="1230"/>
      <c r="M91" s="1266"/>
      <c r="N91" s="1216"/>
      <c r="O91" s="1216"/>
      <c r="P91" s="1216"/>
      <c r="Q91" s="1216"/>
    </row>
    <row r="92" spans="1:17" ht="16.5" x14ac:dyDescent="0.35">
      <c r="A92" s="1225"/>
      <c r="B92" s="2026" t="s">
        <v>1358</v>
      </c>
      <c r="C92" s="2026"/>
      <c r="D92" s="1216"/>
      <c r="E92" s="1215"/>
      <c r="F92" s="1215"/>
      <c r="G92" s="1215"/>
      <c r="H92" s="1215"/>
      <c r="I92" s="1215"/>
      <c r="J92" s="1235"/>
      <c r="K92" s="1225"/>
      <c r="L92" s="1230"/>
      <c r="M92" s="1228"/>
      <c r="N92" s="1216"/>
      <c r="O92" s="1216"/>
      <c r="P92" s="1216"/>
      <c r="Q92" s="1216"/>
    </row>
    <row r="93" spans="1:17" ht="46.5" x14ac:dyDescent="0.35">
      <c r="A93" s="1225">
        <v>1</v>
      </c>
      <c r="B93" s="1229" t="s">
        <v>1359</v>
      </c>
      <c r="C93" s="1216">
        <v>4</v>
      </c>
      <c r="D93" s="1216">
        <v>12</v>
      </c>
      <c r="E93" s="1245">
        <v>0</v>
      </c>
      <c r="F93" s="1245">
        <v>4</v>
      </c>
      <c r="G93" s="1245">
        <v>1</v>
      </c>
      <c r="H93" s="1245">
        <v>0</v>
      </c>
      <c r="I93" s="1245">
        <v>7</v>
      </c>
      <c r="J93" s="1679">
        <v>0</v>
      </c>
      <c r="K93" s="2640">
        <f>'20. Min. of Land'!$I$18</f>
        <v>0.47480158730158722</v>
      </c>
      <c r="L93" s="1230" t="s">
        <v>1543</v>
      </c>
      <c r="M93" s="1228"/>
      <c r="N93" s="1216"/>
      <c r="O93" s="1216"/>
      <c r="P93" s="1216"/>
      <c r="Q93" s="1216"/>
    </row>
    <row r="94" spans="1:17" ht="62" x14ac:dyDescent="0.35">
      <c r="A94" s="1225">
        <v>2</v>
      </c>
      <c r="B94" s="1229" t="s">
        <v>1360</v>
      </c>
      <c r="C94" s="1216">
        <v>4</v>
      </c>
      <c r="D94" s="1216">
        <v>4</v>
      </c>
      <c r="E94" s="1245">
        <v>0</v>
      </c>
      <c r="F94" s="1245">
        <v>1</v>
      </c>
      <c r="G94" s="1245"/>
      <c r="H94" s="1245"/>
      <c r="I94" s="1245">
        <v>3</v>
      </c>
      <c r="J94" s="1679">
        <v>0</v>
      </c>
      <c r="K94" s="2640">
        <f>'20. Min. of Land'!$I$25</f>
        <v>0.39999999999999997</v>
      </c>
      <c r="L94" s="1230" t="s">
        <v>1543</v>
      </c>
      <c r="M94" s="1228"/>
      <c r="N94" s="1216"/>
      <c r="O94" s="1216"/>
      <c r="P94" s="1216"/>
      <c r="Q94" s="1216"/>
    </row>
    <row r="95" spans="1:17" ht="31" x14ac:dyDescent="0.35">
      <c r="A95" s="1225">
        <v>3</v>
      </c>
      <c r="B95" s="1229" t="s">
        <v>1361</v>
      </c>
      <c r="C95" s="1216">
        <v>1</v>
      </c>
      <c r="D95" s="1216">
        <v>2</v>
      </c>
      <c r="E95" s="1245">
        <v>0</v>
      </c>
      <c r="F95" s="1245">
        <v>0</v>
      </c>
      <c r="G95" s="1245">
        <v>0</v>
      </c>
      <c r="H95" s="1245">
        <v>1</v>
      </c>
      <c r="I95" s="1245">
        <v>0</v>
      </c>
      <c r="J95" s="1679">
        <v>1</v>
      </c>
      <c r="K95" s="2640">
        <f>'20. Min. of Land'!I29</f>
        <v>0.5</v>
      </c>
      <c r="L95" s="1230" t="s">
        <v>1543</v>
      </c>
      <c r="M95" s="1228"/>
      <c r="N95" s="1216"/>
      <c r="O95" s="1216"/>
      <c r="P95" s="1216"/>
      <c r="Q95" s="1216"/>
    </row>
    <row r="96" spans="1:17" ht="31" x14ac:dyDescent="0.35">
      <c r="A96" s="1225">
        <v>4</v>
      </c>
      <c r="B96" s="1229" t="s">
        <v>1362</v>
      </c>
      <c r="C96" s="1216">
        <v>1</v>
      </c>
      <c r="D96" s="1216">
        <v>3</v>
      </c>
      <c r="E96" s="1245">
        <v>0</v>
      </c>
      <c r="F96" s="1245">
        <v>1</v>
      </c>
      <c r="G96" s="1245">
        <v>0</v>
      </c>
      <c r="H96" s="1245">
        <v>0</v>
      </c>
      <c r="I96" s="1245">
        <v>2</v>
      </c>
      <c r="J96" s="1679">
        <v>0</v>
      </c>
      <c r="K96" s="2635">
        <f>'20. Min. of Land'!I36</f>
        <v>0.41479452054794524</v>
      </c>
      <c r="L96" s="1230" t="s">
        <v>1543</v>
      </c>
      <c r="M96" s="1228"/>
      <c r="N96" s="1216"/>
      <c r="O96" s="1216"/>
      <c r="P96" s="1216"/>
      <c r="Q96" s="1216"/>
    </row>
    <row r="97" spans="1:17" ht="15.5" x14ac:dyDescent="0.35">
      <c r="A97" s="1225"/>
      <c r="B97" s="1229"/>
      <c r="C97" s="1216"/>
      <c r="D97" s="1216"/>
      <c r="E97" s="1216"/>
      <c r="F97" s="1216"/>
      <c r="G97" s="1216"/>
      <c r="H97" s="1216"/>
      <c r="I97" s="1216"/>
      <c r="J97" s="1216"/>
      <c r="K97" s="2635"/>
      <c r="L97" s="1230"/>
      <c r="M97" s="1228"/>
      <c r="N97" s="1216"/>
      <c r="O97" s="1216"/>
      <c r="P97" s="1216"/>
      <c r="Q97" s="1216"/>
    </row>
    <row r="98" spans="1:17" ht="23.5" thickBot="1" x14ac:dyDescent="0.4">
      <c r="A98" s="1608"/>
      <c r="B98" s="1610" t="s">
        <v>1357</v>
      </c>
      <c r="C98" s="1670">
        <f>SUM(C93:C96)</f>
        <v>10</v>
      </c>
      <c r="D98" s="1670">
        <f t="shared" ref="D98:J98" si="9">SUM(D93:D96)</f>
        <v>21</v>
      </c>
      <c r="E98" s="1670">
        <f t="shared" si="9"/>
        <v>0</v>
      </c>
      <c r="F98" s="1670">
        <f t="shared" si="9"/>
        <v>6</v>
      </c>
      <c r="G98" s="1670">
        <f t="shared" si="9"/>
        <v>1</v>
      </c>
      <c r="H98" s="1670">
        <f t="shared" si="9"/>
        <v>1</v>
      </c>
      <c r="I98" s="1670">
        <f t="shared" si="9"/>
        <v>12</v>
      </c>
      <c r="J98" s="1687">
        <f t="shared" si="9"/>
        <v>1</v>
      </c>
      <c r="K98" s="2641">
        <f>'20. Min. of Land'!$H$37</f>
        <v>0.45484224259278333</v>
      </c>
      <c r="L98" s="1609" t="s">
        <v>1543</v>
      </c>
      <c r="M98" s="1611"/>
      <c r="N98" s="1216"/>
      <c r="O98" s="1216"/>
      <c r="P98" s="1216"/>
      <c r="Q98" s="1216"/>
    </row>
    <row r="99" spans="1:17" ht="16" thickTop="1" x14ac:dyDescent="0.35">
      <c r="A99" s="1225"/>
      <c r="B99" s="1216"/>
      <c r="C99" s="1258"/>
      <c r="D99" s="1258"/>
      <c r="E99" s="1245"/>
      <c r="F99" s="1245"/>
      <c r="G99" s="1245"/>
      <c r="H99" s="1245"/>
      <c r="I99" s="1245"/>
      <c r="J99" s="1679"/>
      <c r="K99" s="1225"/>
      <c r="L99" s="1230"/>
      <c r="M99" s="1228"/>
      <c r="N99" s="1216"/>
      <c r="O99" s="1216"/>
      <c r="P99" s="1216"/>
      <c r="Q99" s="1216"/>
    </row>
    <row r="100" spans="1:17" ht="15.5" x14ac:dyDescent="0.35">
      <c r="A100" s="1225"/>
      <c r="B100" s="1248" t="s">
        <v>1363</v>
      </c>
      <c r="C100" s="1258"/>
      <c r="D100" s="1258"/>
      <c r="E100" s="1245"/>
      <c r="F100" s="1245"/>
      <c r="G100" s="1245"/>
      <c r="H100" s="1245"/>
      <c r="I100" s="1245"/>
      <c r="J100" s="1679"/>
      <c r="K100" s="1225"/>
      <c r="L100" s="1230"/>
      <c r="M100" s="1228"/>
      <c r="N100" s="1216"/>
      <c r="O100" s="1216"/>
      <c r="P100" s="1216"/>
      <c r="Q100" s="1216"/>
    </row>
    <row r="101" spans="1:17" ht="31" x14ac:dyDescent="0.35">
      <c r="A101" s="1225">
        <v>1</v>
      </c>
      <c r="B101" s="1229" t="s">
        <v>1364</v>
      </c>
      <c r="C101" s="1258">
        <v>7</v>
      </c>
      <c r="D101" s="1258">
        <v>26</v>
      </c>
      <c r="E101" s="1245">
        <v>5</v>
      </c>
      <c r="F101" s="1245">
        <v>12</v>
      </c>
      <c r="G101" s="1245">
        <v>0</v>
      </c>
      <c r="H101" s="1245">
        <v>2</v>
      </c>
      <c r="I101" s="1245">
        <v>7</v>
      </c>
      <c r="J101" s="1679">
        <v>0</v>
      </c>
      <c r="K101" s="2633">
        <f>'[2]10. Min. of Water SS'!I34</f>
        <v>0.69914789066985372</v>
      </c>
      <c r="L101" s="1230"/>
      <c r="M101" s="1228"/>
      <c r="N101" s="1216"/>
      <c r="O101" s="1216"/>
      <c r="P101" s="1216"/>
      <c r="Q101" s="1216"/>
    </row>
    <row r="102" spans="1:17" ht="46.5" x14ac:dyDescent="0.35">
      <c r="A102" s="1225">
        <v>2</v>
      </c>
      <c r="B102" s="1229" t="s">
        <v>1365</v>
      </c>
      <c r="C102" s="1240">
        <v>2</v>
      </c>
      <c r="D102" s="1240">
        <v>4</v>
      </c>
      <c r="E102" s="1245">
        <v>1</v>
      </c>
      <c r="F102" s="1245">
        <v>1</v>
      </c>
      <c r="G102" s="1245">
        <v>0</v>
      </c>
      <c r="H102" s="1245">
        <v>0</v>
      </c>
      <c r="I102" s="1245">
        <v>2</v>
      </c>
      <c r="J102" s="1679">
        <v>0</v>
      </c>
      <c r="K102" s="2629">
        <f>'[2]10. Min. of Water SS'!I40</f>
        <v>0.56499999999999995</v>
      </c>
      <c r="L102" s="1230"/>
      <c r="M102" s="1228"/>
      <c r="N102" s="1216"/>
      <c r="O102" s="1216"/>
      <c r="P102" s="1216"/>
      <c r="Q102" s="1216"/>
    </row>
    <row r="103" spans="1:17" ht="47" thickBot="1" x14ac:dyDescent="0.4">
      <c r="A103" s="1225">
        <v>3</v>
      </c>
      <c r="B103" s="1229" t="s">
        <v>1366</v>
      </c>
      <c r="C103" s="1240">
        <v>1</v>
      </c>
      <c r="D103" s="1240">
        <v>6</v>
      </c>
      <c r="E103" s="1245">
        <v>0</v>
      </c>
      <c r="F103" s="1245">
        <v>1</v>
      </c>
      <c r="G103" s="1245">
        <v>2</v>
      </c>
      <c r="H103" s="1245">
        <v>0</v>
      </c>
      <c r="I103" s="1245">
        <v>3</v>
      </c>
      <c r="J103" s="1679"/>
      <c r="K103" s="2629">
        <f>'[2]10. Min. of Water SS'!I48</f>
        <v>0.42083333333333339</v>
      </c>
      <c r="L103" s="1230"/>
      <c r="M103" s="1228"/>
      <c r="N103" s="1216"/>
      <c r="O103" s="1216"/>
      <c r="P103" s="1216"/>
      <c r="Q103" s="1216"/>
    </row>
    <row r="104" spans="1:17" ht="31.5" thickBot="1" x14ac:dyDescent="0.4">
      <c r="A104" s="1267"/>
      <c r="B104" s="1268"/>
      <c r="C104" s="1269">
        <f t="shared" ref="C104:J104" si="10">SUM(C101:C103)</f>
        <v>10</v>
      </c>
      <c r="D104" s="1269">
        <f t="shared" si="10"/>
        <v>36</v>
      </c>
      <c r="E104" s="1269">
        <f t="shared" si="10"/>
        <v>6</v>
      </c>
      <c r="F104" s="1269">
        <f t="shared" si="10"/>
        <v>14</v>
      </c>
      <c r="G104" s="1269">
        <f t="shared" si="10"/>
        <v>2</v>
      </c>
      <c r="H104" s="1269">
        <f t="shared" si="10"/>
        <v>2</v>
      </c>
      <c r="I104" s="1269">
        <f t="shared" si="10"/>
        <v>12</v>
      </c>
      <c r="J104" s="1688">
        <f t="shared" si="10"/>
        <v>0</v>
      </c>
      <c r="K104" s="1436">
        <f>'[2]10. Min. of Water SS'!$H$49</f>
        <v>0.6378568099282278</v>
      </c>
      <c r="L104" s="1308" t="s">
        <v>1534</v>
      </c>
      <c r="M104" s="1270"/>
      <c r="N104" s="1216"/>
      <c r="O104" s="1216"/>
      <c r="P104" s="1216"/>
      <c r="Q104" s="1216"/>
    </row>
    <row r="105" spans="1:17" ht="16" thickTop="1" x14ac:dyDescent="0.35">
      <c r="A105" s="1225"/>
      <c r="B105" s="1216"/>
      <c r="C105" s="1216"/>
      <c r="D105" s="1216"/>
      <c r="E105" s="1215"/>
      <c r="F105" s="1215"/>
      <c r="G105" s="1215"/>
      <c r="H105" s="1215"/>
      <c r="I105" s="1215"/>
      <c r="J105" s="1235"/>
      <c r="K105" s="1225"/>
      <c r="L105" s="1230"/>
      <c r="M105" s="1228"/>
      <c r="N105" s="1216"/>
      <c r="O105" s="1216"/>
      <c r="P105" s="1216"/>
      <c r="Q105" s="1216"/>
    </row>
    <row r="106" spans="1:17" ht="15.5" x14ac:dyDescent="0.35">
      <c r="A106" s="2002" t="s">
        <v>1411</v>
      </c>
      <c r="B106" s="2002"/>
      <c r="C106" s="2002"/>
      <c r="D106" s="2002"/>
      <c r="E106" s="2002"/>
      <c r="F106" s="2002"/>
      <c r="G106" s="2002"/>
      <c r="H106" s="2002"/>
      <c r="I106" s="2002"/>
      <c r="J106" s="2002"/>
      <c r="K106" s="2002"/>
      <c r="L106" s="2002"/>
      <c r="M106" s="1228"/>
      <c r="N106" s="1216"/>
      <c r="O106" s="1216"/>
      <c r="P106" s="1216"/>
      <c r="Q106" s="1216"/>
    </row>
    <row r="107" spans="1:17" ht="15.5" x14ac:dyDescent="0.35">
      <c r="A107" s="2003" t="s">
        <v>1083</v>
      </c>
      <c r="B107" s="2004" t="s">
        <v>1084</v>
      </c>
      <c r="C107" s="2005" t="s">
        <v>445</v>
      </c>
      <c r="D107" s="2005" t="s">
        <v>1085</v>
      </c>
      <c r="E107" s="2006" t="s">
        <v>1086</v>
      </c>
      <c r="F107" s="2006"/>
      <c r="G107" s="2006"/>
      <c r="H107" s="2006"/>
      <c r="I107" s="1917"/>
      <c r="J107" s="1918"/>
      <c r="K107" s="2007" t="s">
        <v>1087</v>
      </c>
      <c r="L107" s="2008"/>
      <c r="M107" s="1228"/>
      <c r="N107" s="1216"/>
      <c r="O107" s="1216"/>
      <c r="P107" s="1216"/>
      <c r="Q107" s="1216"/>
    </row>
    <row r="108" spans="1:17" ht="39" x14ac:dyDescent="0.35">
      <c r="A108" s="2003"/>
      <c r="B108" s="2004"/>
      <c r="C108" s="2005"/>
      <c r="D108" s="2005"/>
      <c r="E108" s="1916" t="s">
        <v>1088</v>
      </c>
      <c r="F108" s="1916" t="s">
        <v>1089</v>
      </c>
      <c r="G108" s="1916" t="s">
        <v>1090</v>
      </c>
      <c r="H108" s="1916" t="s">
        <v>1091</v>
      </c>
      <c r="I108" s="1916" t="s">
        <v>1092</v>
      </c>
      <c r="J108" s="1814" t="s">
        <v>660</v>
      </c>
      <c r="K108" s="2009"/>
      <c r="L108" s="2010"/>
      <c r="M108" s="1228"/>
      <c r="N108" s="1216"/>
      <c r="O108" s="1216"/>
      <c r="P108" s="1216"/>
      <c r="Q108" s="1216"/>
    </row>
    <row r="109" spans="1:17" ht="15.5" x14ac:dyDescent="0.35">
      <c r="A109" s="2003"/>
      <c r="B109" s="2004"/>
      <c r="C109" s="2005"/>
      <c r="D109" s="2005"/>
      <c r="E109" s="1916" t="s">
        <v>1412</v>
      </c>
      <c r="F109" s="1916" t="s">
        <v>1414</v>
      </c>
      <c r="G109" s="1916" t="s">
        <v>1415</v>
      </c>
      <c r="H109" s="1916" t="s">
        <v>1416</v>
      </c>
      <c r="I109" s="1916" t="s">
        <v>1413</v>
      </c>
      <c r="J109" s="937" t="s">
        <v>1104</v>
      </c>
      <c r="K109" s="937" t="s">
        <v>25</v>
      </c>
      <c r="L109" s="938" t="s">
        <v>1093</v>
      </c>
      <c r="M109" s="1228"/>
      <c r="N109" s="1216"/>
      <c r="O109" s="1216"/>
      <c r="P109" s="1216"/>
      <c r="Q109" s="1216"/>
    </row>
    <row r="110" spans="1:17" ht="15.5" x14ac:dyDescent="0.35">
      <c r="A110" s="1220"/>
      <c r="B110" s="1221"/>
      <c r="C110" s="1222"/>
      <c r="D110" s="1222"/>
      <c r="E110" s="1222"/>
      <c r="F110" s="1222"/>
      <c r="G110" s="1222"/>
      <c r="H110" s="1222"/>
      <c r="I110" s="1222"/>
      <c r="J110" s="1222"/>
      <c r="K110" s="1222"/>
      <c r="L110" s="1223"/>
      <c r="M110" s="1228"/>
      <c r="N110" s="1216"/>
      <c r="O110" s="1216"/>
      <c r="P110" s="1216"/>
      <c r="Q110" s="1216"/>
    </row>
    <row r="111" spans="1:17" ht="15.5" x14ac:dyDescent="0.35">
      <c r="A111" s="1225"/>
      <c r="B111" s="1248" t="s">
        <v>1367</v>
      </c>
      <c r="C111" s="1216"/>
      <c r="D111" s="1216"/>
      <c r="E111" s="1215"/>
      <c r="F111" s="1215"/>
      <c r="G111" s="1215"/>
      <c r="H111" s="1215"/>
      <c r="I111" s="1215"/>
      <c r="J111" s="1235"/>
      <c r="K111" s="1225"/>
      <c r="L111" s="1230"/>
      <c r="M111" s="1228"/>
      <c r="N111" s="1216"/>
      <c r="O111" s="1216"/>
      <c r="P111" s="1216"/>
      <c r="Q111" s="1216"/>
    </row>
    <row r="112" spans="1:17" ht="93" x14ac:dyDescent="0.35">
      <c r="A112" s="1225">
        <v>1</v>
      </c>
      <c r="B112" s="1229" t="s">
        <v>1368</v>
      </c>
      <c r="C112" s="1258">
        <v>1</v>
      </c>
      <c r="D112" s="1258">
        <v>7</v>
      </c>
      <c r="E112" s="1245">
        <v>4</v>
      </c>
      <c r="F112" s="1245">
        <v>0</v>
      </c>
      <c r="G112" s="1245">
        <v>0</v>
      </c>
      <c r="H112" s="1245">
        <v>2</v>
      </c>
      <c r="I112" s="1245">
        <v>1</v>
      </c>
      <c r="J112" s="1679"/>
      <c r="K112" s="2635">
        <f>'[2]6. Min. of Works'!I16</f>
        <v>0.76428571428571423</v>
      </c>
      <c r="L112" s="1230" t="s">
        <v>1544</v>
      </c>
      <c r="M112" s="1228"/>
      <c r="N112" s="1216"/>
      <c r="O112" s="1216"/>
      <c r="P112" s="1216"/>
      <c r="Q112" s="1216"/>
    </row>
    <row r="113" spans="1:17" ht="15.5" x14ac:dyDescent="0.35">
      <c r="A113" s="1225"/>
      <c r="B113" s="1229"/>
      <c r="C113" s="1258"/>
      <c r="D113" s="1258"/>
      <c r="E113" s="1258"/>
      <c r="F113" s="1258"/>
      <c r="G113" s="1258"/>
      <c r="H113" s="1258"/>
      <c r="I113" s="1258"/>
      <c r="J113" s="1258"/>
      <c r="K113" s="1684"/>
      <c r="L113" s="1230"/>
      <c r="M113" s="1228"/>
      <c r="N113" s="1216"/>
      <c r="O113" s="1216"/>
      <c r="P113" s="1216"/>
      <c r="Q113" s="1216"/>
    </row>
    <row r="114" spans="1:17" ht="23.5" thickBot="1" x14ac:dyDescent="0.4">
      <c r="A114" s="1232"/>
      <c r="B114" s="1271" t="s">
        <v>1357</v>
      </c>
      <c r="C114" s="1275">
        <f t="shared" ref="C114:K114" si="11">SUM(C105:C112)</f>
        <v>1</v>
      </c>
      <c r="D114" s="1275">
        <f t="shared" si="11"/>
        <v>7</v>
      </c>
      <c r="E114" s="1275">
        <f t="shared" si="11"/>
        <v>4</v>
      </c>
      <c r="F114" s="1275">
        <f t="shared" si="11"/>
        <v>0</v>
      </c>
      <c r="G114" s="1275">
        <f t="shared" si="11"/>
        <v>0</v>
      </c>
      <c r="H114" s="1275">
        <f t="shared" si="11"/>
        <v>2</v>
      </c>
      <c r="I114" s="1275">
        <f t="shared" si="11"/>
        <v>1</v>
      </c>
      <c r="J114" s="1689">
        <f t="shared" si="11"/>
        <v>0</v>
      </c>
      <c r="K114" s="2642">
        <f t="shared" si="11"/>
        <v>0.76428571428571423</v>
      </c>
      <c r="L114" s="1244" t="s">
        <v>1550</v>
      </c>
      <c r="M114" s="1270"/>
      <c r="N114" s="1216"/>
      <c r="O114" s="1216"/>
      <c r="P114" s="1216"/>
      <c r="Q114" s="1216"/>
    </row>
    <row r="115" spans="1:17" ht="16" thickTop="1" x14ac:dyDescent="0.35">
      <c r="A115" s="1225"/>
      <c r="B115" s="1216"/>
      <c r="C115" s="1216"/>
      <c r="D115" s="1216"/>
      <c r="E115" s="1215"/>
      <c r="F115" s="1215"/>
      <c r="G115" s="1215"/>
      <c r="H115" s="1215"/>
      <c r="I115" s="1215"/>
      <c r="J115" s="1235"/>
      <c r="K115" s="1225"/>
      <c r="L115" s="1230"/>
      <c r="M115" s="1228"/>
      <c r="N115" s="1216"/>
      <c r="O115" s="1216"/>
      <c r="P115" s="1216"/>
      <c r="Q115" s="1216"/>
    </row>
    <row r="116" spans="1:17" ht="15.5" x14ac:dyDescent="0.35">
      <c r="A116" s="1225"/>
      <c r="B116" s="1248" t="s">
        <v>1369</v>
      </c>
      <c r="C116" s="1216"/>
      <c r="D116" s="1216"/>
      <c r="E116" s="1215"/>
      <c r="F116" s="1215"/>
      <c r="G116" s="1215"/>
      <c r="H116" s="1215"/>
      <c r="I116" s="1215"/>
      <c r="J116" s="1235"/>
      <c r="K116" s="1225"/>
      <c r="L116" s="1230"/>
      <c r="M116" s="1228"/>
      <c r="N116" s="1216"/>
      <c r="O116" s="1216"/>
      <c r="P116" s="1216"/>
      <c r="Q116" s="1216"/>
    </row>
    <row r="117" spans="1:17" ht="15.5" x14ac:dyDescent="0.35">
      <c r="A117" s="1225"/>
      <c r="B117" s="1216"/>
      <c r="C117" s="1216"/>
      <c r="D117" s="1216"/>
      <c r="E117" s="1215"/>
      <c r="F117" s="1215"/>
      <c r="G117" s="1215"/>
      <c r="H117" s="1215"/>
      <c r="I117" s="1215"/>
      <c r="J117" s="1235"/>
      <c r="K117" s="1225"/>
      <c r="L117" s="1230"/>
      <c r="M117" s="1228"/>
      <c r="N117" s="1216"/>
      <c r="O117" s="1216"/>
      <c r="P117" s="1216"/>
      <c r="Q117" s="1216"/>
    </row>
    <row r="118" spans="1:17" ht="46.5" x14ac:dyDescent="0.35">
      <c r="A118" s="1225">
        <v>1</v>
      </c>
      <c r="B118" s="1229" t="s">
        <v>1370</v>
      </c>
      <c r="C118" s="1349">
        <v>3</v>
      </c>
      <c r="D118" s="1349">
        <v>8</v>
      </c>
      <c r="E118" s="1350">
        <v>2</v>
      </c>
      <c r="F118" s="1350">
        <v>0</v>
      </c>
      <c r="G118" s="1350">
        <v>0</v>
      </c>
      <c r="H118" s="1350">
        <v>2</v>
      </c>
      <c r="I118" s="1350">
        <v>2</v>
      </c>
      <c r="J118" s="1690">
        <v>2</v>
      </c>
      <c r="K118" s="2633">
        <f>'[2]7. Power'!H14</f>
        <v>0.56083333333333329</v>
      </c>
      <c r="L118" s="1230"/>
      <c r="M118" s="1228"/>
      <c r="N118" s="1216"/>
      <c r="O118" s="1216"/>
      <c r="P118" s="1216"/>
      <c r="Q118" s="1216"/>
    </row>
    <row r="119" spans="1:17" ht="23.5" thickBot="1" x14ac:dyDescent="0.4">
      <c r="A119" s="1232"/>
      <c r="B119" s="1271" t="s">
        <v>1357</v>
      </c>
      <c r="C119" s="1351">
        <f>SUM(C116:C118)</f>
        <v>3</v>
      </c>
      <c r="D119" s="1351">
        <f t="shared" ref="D119:K119" si="12">SUM(D116:D118)</f>
        <v>8</v>
      </c>
      <c r="E119" s="1351">
        <f t="shared" si="12"/>
        <v>2</v>
      </c>
      <c r="F119" s="1351">
        <f t="shared" si="12"/>
        <v>0</v>
      </c>
      <c r="G119" s="1351">
        <f t="shared" si="12"/>
        <v>0</v>
      </c>
      <c r="H119" s="1351">
        <f t="shared" si="12"/>
        <v>2</v>
      </c>
      <c r="I119" s="1351">
        <f t="shared" si="12"/>
        <v>2</v>
      </c>
      <c r="J119" s="1691">
        <f t="shared" si="12"/>
        <v>2</v>
      </c>
      <c r="K119" s="2643">
        <f t="shared" si="12"/>
        <v>0.56083333333333329</v>
      </c>
      <c r="L119" s="1609" t="s">
        <v>1543</v>
      </c>
      <c r="M119" s="1272"/>
      <c r="N119" s="1216"/>
      <c r="O119" s="1216"/>
      <c r="P119" s="1216"/>
      <c r="Q119" s="1216"/>
    </row>
    <row r="120" spans="1:17" ht="16" thickTop="1" x14ac:dyDescent="0.35">
      <c r="A120" s="1225"/>
      <c r="B120" s="1216"/>
      <c r="C120" s="1216"/>
      <c r="D120" s="1216"/>
      <c r="E120" s="1215"/>
      <c r="F120" s="1215"/>
      <c r="G120" s="1215"/>
      <c r="H120" s="1215"/>
      <c r="I120" s="1215"/>
      <c r="J120" s="1235"/>
      <c r="K120" s="2638"/>
      <c r="L120" s="1230"/>
      <c r="M120" s="1228"/>
      <c r="N120" s="1216"/>
      <c r="O120" s="1216"/>
      <c r="P120" s="1216"/>
      <c r="Q120" s="1216"/>
    </row>
    <row r="121" spans="1:17" ht="15.5" x14ac:dyDescent="0.35">
      <c r="A121" s="2002" t="s">
        <v>1411</v>
      </c>
      <c r="B121" s="2002"/>
      <c r="C121" s="2002"/>
      <c r="D121" s="2002"/>
      <c r="E121" s="2002"/>
      <c r="F121" s="2002"/>
      <c r="G121" s="2002"/>
      <c r="H121" s="2002"/>
      <c r="I121" s="2002"/>
      <c r="J121" s="2002"/>
      <c r="K121" s="2002"/>
      <c r="L121" s="2002"/>
      <c r="M121" s="1228"/>
      <c r="N121" s="1216"/>
      <c r="O121" s="1216"/>
      <c r="P121" s="1216"/>
      <c r="Q121" s="1216"/>
    </row>
    <row r="122" spans="1:17" ht="15.5" x14ac:dyDescent="0.35">
      <c r="A122" s="2003" t="s">
        <v>1083</v>
      </c>
      <c r="B122" s="2004" t="s">
        <v>1084</v>
      </c>
      <c r="C122" s="2005" t="s">
        <v>445</v>
      </c>
      <c r="D122" s="2005" t="s">
        <v>1085</v>
      </c>
      <c r="E122" s="2006" t="s">
        <v>1086</v>
      </c>
      <c r="F122" s="2006"/>
      <c r="G122" s="2006"/>
      <c r="H122" s="2006"/>
      <c r="I122" s="1917"/>
      <c r="J122" s="1918"/>
      <c r="K122" s="2007" t="s">
        <v>1087</v>
      </c>
      <c r="L122" s="2008"/>
      <c r="M122" s="1228"/>
      <c r="N122" s="1216"/>
      <c r="O122" s="1216"/>
      <c r="P122" s="1216"/>
      <c r="Q122" s="1216"/>
    </row>
    <row r="123" spans="1:17" ht="39" x14ac:dyDescent="0.35">
      <c r="A123" s="2003"/>
      <c r="B123" s="2004"/>
      <c r="C123" s="2005"/>
      <c r="D123" s="2005"/>
      <c r="E123" s="1916" t="s">
        <v>1088</v>
      </c>
      <c r="F123" s="1916" t="s">
        <v>1089</v>
      </c>
      <c r="G123" s="1916" t="s">
        <v>1090</v>
      </c>
      <c r="H123" s="1916" t="s">
        <v>1091</v>
      </c>
      <c r="I123" s="1916" t="s">
        <v>1092</v>
      </c>
      <c r="J123" s="1814" t="s">
        <v>660</v>
      </c>
      <c r="K123" s="2009"/>
      <c r="L123" s="2010"/>
      <c r="M123" s="1228"/>
      <c r="N123" s="1216"/>
      <c r="O123" s="1216"/>
      <c r="P123" s="1216"/>
      <c r="Q123" s="1216"/>
    </row>
    <row r="124" spans="1:17" ht="15.5" x14ac:dyDescent="0.35">
      <c r="A124" s="2003"/>
      <c r="B124" s="2004"/>
      <c r="C124" s="2005"/>
      <c r="D124" s="2005"/>
      <c r="E124" s="1916" t="s">
        <v>1412</v>
      </c>
      <c r="F124" s="1916" t="s">
        <v>1414</v>
      </c>
      <c r="G124" s="1916" t="s">
        <v>1415</v>
      </c>
      <c r="H124" s="1916" t="s">
        <v>1416</v>
      </c>
      <c r="I124" s="1916" t="s">
        <v>1413</v>
      </c>
      <c r="J124" s="937" t="s">
        <v>1104</v>
      </c>
      <c r="K124" s="937" t="s">
        <v>25</v>
      </c>
      <c r="L124" s="938" t="s">
        <v>1093</v>
      </c>
      <c r="M124" s="1228"/>
      <c r="N124" s="1216"/>
      <c r="O124" s="1216"/>
      <c r="P124" s="1216"/>
      <c r="Q124" s="1216"/>
    </row>
    <row r="125" spans="1:17" ht="16.5" x14ac:dyDescent="0.35">
      <c r="A125" s="1225"/>
      <c r="B125" s="1273" t="s">
        <v>1266</v>
      </c>
      <c r="C125" s="1216"/>
      <c r="D125" s="1216"/>
      <c r="E125" s="1215"/>
      <c r="F125" s="1215"/>
      <c r="G125" s="1215"/>
      <c r="H125" s="1215"/>
      <c r="I125" s="1215"/>
      <c r="J125" s="1235"/>
      <c r="K125" s="2638"/>
      <c r="L125" s="1230"/>
      <c r="M125" s="1228"/>
      <c r="N125" s="1216"/>
      <c r="O125" s="1216"/>
      <c r="P125" s="1216"/>
      <c r="Q125" s="1216"/>
    </row>
    <row r="126" spans="1:17" ht="49.5" x14ac:dyDescent="0.35">
      <c r="A126" s="1225">
        <v>1</v>
      </c>
      <c r="B126" s="1274" t="s">
        <v>1371</v>
      </c>
      <c r="C126" s="1258">
        <v>4</v>
      </c>
      <c r="D126" s="1258">
        <v>6</v>
      </c>
      <c r="E126" s="1245">
        <v>1</v>
      </c>
      <c r="F126" s="1245">
        <v>0</v>
      </c>
      <c r="G126" s="1245">
        <v>0</v>
      </c>
      <c r="H126" s="1245">
        <v>1</v>
      </c>
      <c r="I126" s="1245">
        <v>3</v>
      </c>
      <c r="J126" s="1679">
        <v>1</v>
      </c>
      <c r="K126" s="2672">
        <f>'1. OHOS'!I12</f>
        <v>0.4</v>
      </c>
      <c r="L126" s="1230" t="s">
        <v>1543</v>
      </c>
      <c r="M126" s="1231"/>
      <c r="N126" s="1229"/>
      <c r="O126" s="1216"/>
      <c r="P126" s="1216"/>
      <c r="Q126" s="1216"/>
    </row>
    <row r="127" spans="1:17" ht="82.5" x14ac:dyDescent="0.35">
      <c r="A127" s="1225">
        <v>2</v>
      </c>
      <c r="B127" s="1274" t="s">
        <v>1372</v>
      </c>
      <c r="C127" s="1258">
        <v>1</v>
      </c>
      <c r="D127" s="1258">
        <v>4</v>
      </c>
      <c r="E127" s="1245">
        <v>3</v>
      </c>
      <c r="F127" s="1245">
        <v>1</v>
      </c>
      <c r="G127" s="1245">
        <v>0</v>
      </c>
      <c r="H127" s="1245">
        <v>0</v>
      </c>
      <c r="I127" s="1245">
        <v>0</v>
      </c>
      <c r="J127" s="1679">
        <v>0</v>
      </c>
      <c r="K127" s="2672">
        <f>'1. OHOS'!I18</f>
        <v>0.76339392694532882</v>
      </c>
      <c r="L127" s="1230" t="s">
        <v>1599</v>
      </c>
      <c r="M127" s="1228"/>
      <c r="N127" s="1216"/>
      <c r="O127" s="1216"/>
      <c r="P127" s="1216"/>
      <c r="Q127" s="1216"/>
    </row>
    <row r="128" spans="1:17" ht="33" x14ac:dyDescent="0.35">
      <c r="A128" s="1225">
        <v>3</v>
      </c>
      <c r="B128" s="1274" t="s">
        <v>1373</v>
      </c>
      <c r="C128" s="1258">
        <v>1</v>
      </c>
      <c r="D128" s="1258">
        <v>4</v>
      </c>
      <c r="E128" s="1245">
        <v>2</v>
      </c>
      <c r="F128" s="1245">
        <v>0</v>
      </c>
      <c r="G128" s="1245">
        <v>0</v>
      </c>
      <c r="H128" s="1245">
        <v>0</v>
      </c>
      <c r="I128" s="1245">
        <v>0</v>
      </c>
      <c r="J128" s="1679">
        <v>2</v>
      </c>
      <c r="K128" s="2672">
        <f>'1. OHOS'!I24</f>
        <v>0.99490000000000001</v>
      </c>
      <c r="L128" s="1230" t="s">
        <v>1599</v>
      </c>
      <c r="M128" s="1228"/>
      <c r="N128" s="1216"/>
      <c r="O128" s="1216"/>
      <c r="P128" s="1216"/>
      <c r="Q128" s="1216"/>
    </row>
    <row r="129" spans="1:17" ht="66" x14ac:dyDescent="0.35">
      <c r="A129" s="1225">
        <v>4</v>
      </c>
      <c r="B129" s="1274" t="s">
        <v>1374</v>
      </c>
      <c r="C129" s="1258">
        <v>1</v>
      </c>
      <c r="D129" s="1258">
        <v>10</v>
      </c>
      <c r="E129" s="1245">
        <v>1</v>
      </c>
      <c r="F129" s="1245">
        <v>2</v>
      </c>
      <c r="G129" s="1245">
        <v>0</v>
      </c>
      <c r="H129" s="1245">
        <v>0</v>
      </c>
      <c r="I129" s="1245">
        <v>7</v>
      </c>
      <c r="J129" s="1679">
        <v>0</v>
      </c>
      <c r="K129" s="2672">
        <f>'1. OHOS'!I36</f>
        <v>0.3793037037037037</v>
      </c>
      <c r="L129" s="1230" t="s">
        <v>1600</v>
      </c>
      <c r="M129" s="1228"/>
      <c r="N129" s="1216"/>
      <c r="O129" s="1216"/>
      <c r="P129" s="1216"/>
      <c r="Q129" s="1216"/>
    </row>
    <row r="130" spans="1:17" ht="23.5" thickBot="1" x14ac:dyDescent="0.4">
      <c r="A130" s="1232"/>
      <c r="B130" s="1271" t="s">
        <v>1357</v>
      </c>
      <c r="C130" s="1275">
        <f>SUM(C126:C129)</f>
        <v>7</v>
      </c>
      <c r="D130" s="1275">
        <f t="shared" ref="D130:J130" si="13">SUM(D126:D129)</f>
        <v>24</v>
      </c>
      <c r="E130" s="1275">
        <f t="shared" si="13"/>
        <v>7</v>
      </c>
      <c r="F130" s="1275">
        <f t="shared" si="13"/>
        <v>3</v>
      </c>
      <c r="G130" s="1275">
        <f t="shared" si="13"/>
        <v>0</v>
      </c>
      <c r="H130" s="1275">
        <f t="shared" si="13"/>
        <v>1</v>
      </c>
      <c r="I130" s="1275">
        <f t="shared" si="13"/>
        <v>10</v>
      </c>
      <c r="J130" s="1689">
        <f t="shared" si="13"/>
        <v>3</v>
      </c>
      <c r="K130" s="2685">
        <f>'1. OHOS'!H37</f>
        <v>0.51601965451515952</v>
      </c>
      <c r="L130" s="1609" t="s">
        <v>1543</v>
      </c>
      <c r="M130" s="1272"/>
      <c r="N130" s="1276"/>
      <c r="O130" s="1216"/>
      <c r="P130" s="1216"/>
      <c r="Q130" s="1216"/>
    </row>
    <row r="131" spans="1:17" ht="16" thickTop="1" x14ac:dyDescent="0.35">
      <c r="A131" s="1225"/>
      <c r="B131" s="1225"/>
      <c r="C131" s="1225"/>
      <c r="D131" s="1225"/>
      <c r="E131" s="1235"/>
      <c r="F131" s="1235"/>
      <c r="G131" s="1235"/>
      <c r="H131" s="1235"/>
      <c r="I131" s="1235"/>
      <c r="J131" s="1235"/>
      <c r="K131" s="1225"/>
      <c r="L131" s="1941"/>
      <c r="M131" s="1237"/>
      <c r="N131" s="1225"/>
      <c r="O131" s="1216"/>
      <c r="P131" s="1225"/>
      <c r="Q131" s="1225"/>
    </row>
    <row r="132" spans="1:17" ht="15.5" x14ac:dyDescent="0.35">
      <c r="A132" s="1225"/>
      <c r="B132" s="1248" t="s">
        <v>1375</v>
      </c>
      <c r="C132" s="1216"/>
      <c r="D132" s="1216"/>
      <c r="E132" s="1215"/>
      <c r="F132" s="1215"/>
      <c r="G132" s="1215"/>
      <c r="H132" s="1215"/>
      <c r="I132" s="1215"/>
      <c r="J132" s="1235"/>
      <c r="K132" s="1225"/>
      <c r="L132" s="1230"/>
      <c r="M132" s="1277"/>
      <c r="N132" s="1278"/>
      <c r="O132" s="1216"/>
      <c r="P132" s="1216"/>
      <c r="Q132" s="1216"/>
    </row>
    <row r="133" spans="1:17" ht="28" x14ac:dyDescent="0.35">
      <c r="A133" s="1225">
        <v>1</v>
      </c>
      <c r="B133" s="1216" t="s">
        <v>1376</v>
      </c>
      <c r="C133" s="1258">
        <v>3</v>
      </c>
      <c r="D133" s="1258">
        <v>9</v>
      </c>
      <c r="E133" s="1245">
        <v>0</v>
      </c>
      <c r="F133" s="1245">
        <v>3</v>
      </c>
      <c r="G133" s="1245">
        <v>2</v>
      </c>
      <c r="H133" s="1245"/>
      <c r="I133" s="1245">
        <v>3</v>
      </c>
      <c r="J133" s="1679">
        <v>1</v>
      </c>
      <c r="K133" s="2633">
        <f>'[2]9. Min. of Agric'!$I$16</f>
        <v>0.55698529411764708</v>
      </c>
      <c r="L133" s="1262" t="s">
        <v>1531</v>
      </c>
      <c r="M133" s="1228"/>
      <c r="N133" s="1216"/>
      <c r="O133" s="1216"/>
      <c r="P133" s="1216"/>
      <c r="Q133" s="1216"/>
    </row>
    <row r="134" spans="1:17" ht="28" x14ac:dyDescent="0.35">
      <c r="A134" s="1225">
        <v>2</v>
      </c>
      <c r="B134" s="1216" t="s">
        <v>1377</v>
      </c>
      <c r="C134" s="1258">
        <v>1</v>
      </c>
      <c r="D134" s="1258">
        <v>3</v>
      </c>
      <c r="E134" s="1245">
        <v>0</v>
      </c>
      <c r="F134" s="1245">
        <v>2</v>
      </c>
      <c r="G134" s="1245">
        <v>0</v>
      </c>
      <c r="H134" s="1245">
        <v>0</v>
      </c>
      <c r="I134" s="1245">
        <v>0</v>
      </c>
      <c r="J134" s="1679">
        <v>1</v>
      </c>
      <c r="K134" s="2633">
        <f>'[2]9. Min. of Agric'!I22</f>
        <v>0.876</v>
      </c>
      <c r="L134" s="1262" t="s">
        <v>1544</v>
      </c>
      <c r="M134" s="1228"/>
      <c r="N134" s="1216"/>
      <c r="O134" s="1216"/>
      <c r="P134" s="1216"/>
      <c r="Q134" s="1216"/>
    </row>
    <row r="135" spans="1:17" ht="31" x14ac:dyDescent="0.35">
      <c r="A135" s="1225">
        <v>3</v>
      </c>
      <c r="B135" s="1229" t="s">
        <v>1378</v>
      </c>
      <c r="C135" s="1258">
        <v>3</v>
      </c>
      <c r="D135" s="1258">
        <v>4</v>
      </c>
      <c r="E135" s="1245">
        <v>1</v>
      </c>
      <c r="F135" s="1245">
        <v>1</v>
      </c>
      <c r="G135" s="1245">
        <v>0</v>
      </c>
      <c r="H135" s="1245">
        <v>2</v>
      </c>
      <c r="I135" s="1245">
        <v>0</v>
      </c>
      <c r="J135" s="1679">
        <v>0</v>
      </c>
      <c r="K135" s="2633">
        <f>'[2]9. Min. of Agric'!I28</f>
        <v>0.55869047619047618</v>
      </c>
      <c r="L135" s="1262" t="s">
        <v>1531</v>
      </c>
      <c r="M135" s="1228"/>
      <c r="N135" s="1216"/>
      <c r="O135" s="1216"/>
      <c r="P135" s="1216"/>
      <c r="Q135" s="1216"/>
    </row>
    <row r="136" spans="1:17" ht="31" x14ac:dyDescent="0.35">
      <c r="A136" s="1225">
        <v>4</v>
      </c>
      <c r="B136" s="1229" t="s">
        <v>1379</v>
      </c>
      <c r="C136" s="1258">
        <v>1</v>
      </c>
      <c r="D136" s="1258">
        <v>7</v>
      </c>
      <c r="E136" s="1245">
        <v>5</v>
      </c>
      <c r="F136" s="1245">
        <v>2</v>
      </c>
      <c r="G136" s="1245">
        <v>0</v>
      </c>
      <c r="H136" s="1245">
        <v>0</v>
      </c>
      <c r="I136" s="1245">
        <v>0</v>
      </c>
      <c r="J136" s="1679">
        <v>0</v>
      </c>
      <c r="K136" s="2635">
        <f>'[2]9. Min. of Agric'!I37</f>
        <v>0.97401978973407544</v>
      </c>
      <c r="L136" s="1262" t="s">
        <v>1544</v>
      </c>
      <c r="M136" s="1228"/>
      <c r="N136" s="1216"/>
      <c r="O136" s="1216"/>
      <c r="P136" s="1216"/>
      <c r="Q136" s="1216"/>
    </row>
    <row r="137" spans="1:17" ht="46.5" x14ac:dyDescent="0.35">
      <c r="A137" s="1225">
        <v>5</v>
      </c>
      <c r="B137" s="1229" t="s">
        <v>1380</v>
      </c>
      <c r="C137" s="1258">
        <v>1</v>
      </c>
      <c r="D137" s="1258">
        <v>3</v>
      </c>
      <c r="E137" s="1245">
        <v>1</v>
      </c>
      <c r="F137" s="1245">
        <v>0</v>
      </c>
      <c r="G137" s="1245">
        <v>0</v>
      </c>
      <c r="H137" s="1245">
        <v>2</v>
      </c>
      <c r="I137" s="1245">
        <v>0</v>
      </c>
      <c r="J137" s="1679">
        <v>0</v>
      </c>
      <c r="K137" s="2633">
        <f>'[2]9. Min. of Agric'!I42</f>
        <v>0.62051679586563313</v>
      </c>
      <c r="L137" s="1262" t="s">
        <v>1534</v>
      </c>
      <c r="M137" s="1228"/>
      <c r="N137" s="1216"/>
      <c r="O137" s="1216"/>
      <c r="P137" s="1216"/>
      <c r="Q137" s="1216"/>
    </row>
    <row r="138" spans="1:17" ht="28" x14ac:dyDescent="0.35">
      <c r="A138" s="1932">
        <v>6</v>
      </c>
      <c r="B138" s="1931" t="s">
        <v>1381</v>
      </c>
      <c r="C138" s="1933">
        <v>5</v>
      </c>
      <c r="D138" s="1933">
        <v>11</v>
      </c>
      <c r="E138" s="1934">
        <v>3</v>
      </c>
      <c r="F138" s="1934">
        <v>5</v>
      </c>
      <c r="G138" s="1934"/>
      <c r="H138" s="1934"/>
      <c r="I138" s="1934">
        <v>3</v>
      </c>
      <c r="J138" s="1935">
        <v>0</v>
      </c>
      <c r="K138" s="2644">
        <f>'[2]9. Min. of Agric'!I55</f>
        <v>0.74942606060606065</v>
      </c>
      <c r="L138" s="1262" t="s">
        <v>1544</v>
      </c>
      <c r="M138" s="1228"/>
      <c r="N138" s="1216"/>
      <c r="O138" s="1216"/>
      <c r="P138" s="1216"/>
      <c r="Q138" s="1216"/>
    </row>
    <row r="139" spans="1:17" ht="42" x14ac:dyDescent="0.35">
      <c r="A139" s="1932">
        <v>7</v>
      </c>
      <c r="B139" s="1931" t="s">
        <v>1382</v>
      </c>
      <c r="C139" s="1933">
        <v>1</v>
      </c>
      <c r="D139" s="1933">
        <v>4</v>
      </c>
      <c r="E139" s="1934">
        <v>0</v>
      </c>
      <c r="F139" s="1934">
        <v>0</v>
      </c>
      <c r="G139" s="1934">
        <v>0</v>
      </c>
      <c r="H139" s="1934">
        <v>1</v>
      </c>
      <c r="I139" s="1934">
        <v>2</v>
      </c>
      <c r="J139" s="1935">
        <v>0</v>
      </c>
      <c r="K139" s="2644">
        <f>'[2]9. Min. of Agric'!$I$61</f>
        <v>0.20833333333333331</v>
      </c>
      <c r="L139" s="1262" t="s">
        <v>1547</v>
      </c>
      <c r="M139" s="1228"/>
      <c r="N139" s="1216"/>
      <c r="O139" s="1216"/>
      <c r="P139" s="1216"/>
      <c r="Q139" s="1216"/>
    </row>
    <row r="140" spans="1:17" ht="28" x14ac:dyDescent="0.35">
      <c r="A140" s="1932">
        <v>8</v>
      </c>
      <c r="B140" s="1931" t="s">
        <v>1383</v>
      </c>
      <c r="C140" s="1933">
        <v>2</v>
      </c>
      <c r="D140" s="1933">
        <v>5</v>
      </c>
      <c r="E140" s="1934">
        <v>0</v>
      </c>
      <c r="F140" s="1934">
        <v>1</v>
      </c>
      <c r="G140" s="1934">
        <v>1</v>
      </c>
      <c r="H140" s="1934">
        <v>3</v>
      </c>
      <c r="I140" s="1934">
        <v>0</v>
      </c>
      <c r="J140" s="1935">
        <v>0</v>
      </c>
      <c r="K140" s="2644">
        <f>'[2]9. Min. of Agric'!$I$68</f>
        <v>0.64786773333333325</v>
      </c>
      <c r="L140" s="1262" t="s">
        <v>1534</v>
      </c>
      <c r="M140" s="1228"/>
      <c r="N140" s="1216"/>
      <c r="O140" s="1216"/>
      <c r="P140" s="1216"/>
      <c r="Q140" s="1216"/>
    </row>
    <row r="141" spans="1:17" ht="42" x14ac:dyDescent="0.35">
      <c r="A141" s="1932">
        <v>9</v>
      </c>
      <c r="B141" s="1931" t="s">
        <v>1384</v>
      </c>
      <c r="C141" s="1933">
        <v>1</v>
      </c>
      <c r="D141" s="1933">
        <v>2</v>
      </c>
      <c r="E141" s="1934">
        <v>0</v>
      </c>
      <c r="F141" s="1934">
        <v>0</v>
      </c>
      <c r="G141" s="1934">
        <v>0</v>
      </c>
      <c r="H141" s="1934">
        <v>1</v>
      </c>
      <c r="I141" s="1934">
        <v>1</v>
      </c>
      <c r="J141" s="1935">
        <v>0</v>
      </c>
      <c r="K141" s="2644">
        <f>'[2]9. Min. of Agric'!I72</f>
        <v>0.25</v>
      </c>
      <c r="L141" s="1262" t="s">
        <v>1547</v>
      </c>
      <c r="M141" s="1228"/>
      <c r="N141" s="1216"/>
      <c r="O141" s="1216"/>
      <c r="P141" s="1216"/>
      <c r="Q141" s="1216"/>
    </row>
    <row r="142" spans="1:17" ht="28" x14ac:dyDescent="0.35">
      <c r="A142" s="1932">
        <v>10</v>
      </c>
      <c r="B142" s="1931" t="s">
        <v>1385</v>
      </c>
      <c r="C142" s="1933">
        <v>4</v>
      </c>
      <c r="D142" s="1933">
        <v>10</v>
      </c>
      <c r="E142" s="1934">
        <v>2</v>
      </c>
      <c r="F142" s="1934">
        <v>5</v>
      </c>
      <c r="G142" s="1934">
        <v>0</v>
      </c>
      <c r="H142" s="1934">
        <v>1</v>
      </c>
      <c r="I142" s="1934">
        <v>2</v>
      </c>
      <c r="J142" s="1935">
        <v>0</v>
      </c>
      <c r="K142" s="2644">
        <f>'[2]9. Min. of Agric'!I84</f>
        <v>0.75896562097120746</v>
      </c>
      <c r="L142" s="1262" t="s">
        <v>1544</v>
      </c>
      <c r="M142" s="1228"/>
      <c r="N142" s="1216"/>
      <c r="O142" s="1216"/>
      <c r="P142" s="1216"/>
      <c r="Q142" s="1216"/>
    </row>
    <row r="143" spans="1:17" ht="28" x14ac:dyDescent="0.35">
      <c r="A143" s="1932">
        <v>11</v>
      </c>
      <c r="B143" s="1931" t="s">
        <v>1386</v>
      </c>
      <c r="C143" s="1933">
        <v>1</v>
      </c>
      <c r="D143" s="1933">
        <v>3</v>
      </c>
      <c r="E143" s="1934">
        <v>0</v>
      </c>
      <c r="F143" s="1934">
        <v>0</v>
      </c>
      <c r="G143" s="1934">
        <v>0</v>
      </c>
      <c r="H143" s="1934">
        <v>2</v>
      </c>
      <c r="I143" s="1934">
        <v>0</v>
      </c>
      <c r="J143" s="1935">
        <v>2</v>
      </c>
      <c r="K143" s="2645">
        <f>'[2]9. Min. of Agric'!I89</f>
        <v>0.41666666666666669</v>
      </c>
      <c r="L143" s="1262" t="s">
        <v>1531</v>
      </c>
      <c r="M143" s="1228"/>
      <c r="N143" s="1216"/>
      <c r="O143" s="1216"/>
      <c r="P143" s="1216"/>
      <c r="Q143" s="1216"/>
    </row>
    <row r="144" spans="1:17" ht="28" x14ac:dyDescent="0.35">
      <c r="A144" s="1932">
        <v>12</v>
      </c>
      <c r="B144" s="1931" t="s">
        <v>1387</v>
      </c>
      <c r="C144" s="1933">
        <v>1</v>
      </c>
      <c r="D144" s="1933">
        <v>6</v>
      </c>
      <c r="E144" s="1934">
        <v>0</v>
      </c>
      <c r="F144" s="1934">
        <v>1</v>
      </c>
      <c r="G144" s="1934">
        <v>1</v>
      </c>
      <c r="H144" s="1934">
        <v>2</v>
      </c>
      <c r="I144" s="1934">
        <v>2</v>
      </c>
      <c r="J144" s="1935">
        <v>0</v>
      </c>
      <c r="K144" s="2644">
        <f>'[2]9. Min. of Agric'!$I$97</f>
        <v>0.48333333333333334</v>
      </c>
      <c r="L144" s="1262" t="s">
        <v>1531</v>
      </c>
      <c r="M144" s="1228"/>
      <c r="N144" s="1216"/>
      <c r="O144" s="1216"/>
      <c r="P144" s="1216"/>
      <c r="Q144" s="1216"/>
    </row>
    <row r="145" spans="1:17" ht="15.5" x14ac:dyDescent="0.35">
      <c r="A145" s="1932"/>
      <c r="B145" s="1931"/>
      <c r="C145" s="1933"/>
      <c r="D145" s="1933"/>
      <c r="E145" s="1933"/>
      <c r="F145" s="1933"/>
      <c r="G145" s="1933"/>
      <c r="H145" s="1933"/>
      <c r="I145" s="1933"/>
      <c r="J145" s="1933"/>
      <c r="K145" s="2644"/>
      <c r="L145" s="1262"/>
      <c r="M145" s="1228"/>
      <c r="N145" s="1216"/>
      <c r="O145" s="1216"/>
      <c r="P145" s="1216"/>
      <c r="Q145" s="1216"/>
    </row>
    <row r="146" spans="1:17" ht="28.5" thickBot="1" x14ac:dyDescent="0.4">
      <c r="A146" s="1936"/>
      <c r="B146" s="1937" t="s">
        <v>1357</v>
      </c>
      <c r="C146" s="1938">
        <f>SUM(C133:C144)</f>
        <v>24</v>
      </c>
      <c r="D146" s="1938">
        <f t="shared" ref="D146:I146" si="14">SUM(D133:D144)</f>
        <v>67</v>
      </c>
      <c r="E146" s="1938">
        <f t="shared" si="14"/>
        <v>12</v>
      </c>
      <c r="F146" s="1938">
        <f t="shared" si="14"/>
        <v>20</v>
      </c>
      <c r="G146" s="1938">
        <f t="shared" si="14"/>
        <v>4</v>
      </c>
      <c r="H146" s="1938">
        <f t="shared" si="14"/>
        <v>14</v>
      </c>
      <c r="I146" s="1938">
        <f t="shared" si="14"/>
        <v>13</v>
      </c>
      <c r="J146" s="1939">
        <f>SUM(J133:J144)</f>
        <v>4</v>
      </c>
      <c r="K146" s="2646">
        <f>'[2]9. Min. of Agric'!$H$98</f>
        <v>0.64833356692831601</v>
      </c>
      <c r="L146" s="1943" t="s">
        <v>1534</v>
      </c>
      <c r="M146" s="1924"/>
      <c r="N146" s="1216"/>
      <c r="O146" s="1216"/>
      <c r="P146" s="1216"/>
      <c r="Q146" s="1216"/>
    </row>
    <row r="147" spans="1:17" ht="16" thickTop="1" x14ac:dyDescent="0.35">
      <c r="A147" s="1225"/>
      <c r="B147" s="1216"/>
      <c r="C147" s="1216"/>
      <c r="D147" s="1216"/>
      <c r="E147" s="1215"/>
      <c r="F147" s="1215"/>
      <c r="G147" s="1215"/>
      <c r="H147" s="1215"/>
      <c r="I147" s="1215"/>
      <c r="J147" s="1235"/>
      <c r="K147" s="1225"/>
      <c r="L147" s="1230"/>
      <c r="M147" s="1228"/>
      <c r="N147" s="1216"/>
      <c r="O147" s="1216"/>
      <c r="P147" s="1216"/>
      <c r="Q147" s="1216"/>
    </row>
    <row r="148" spans="1:17" ht="15.5" x14ac:dyDescent="0.35">
      <c r="A148" s="1225"/>
      <c r="B148" s="1248" t="s">
        <v>1388</v>
      </c>
      <c r="C148" s="1216"/>
      <c r="D148" s="1216"/>
      <c r="E148" s="1215"/>
      <c r="F148" s="1215"/>
      <c r="G148" s="1215"/>
      <c r="H148" s="1215"/>
      <c r="I148" s="1215"/>
      <c r="J148" s="1235"/>
      <c r="K148" s="1225"/>
      <c r="L148" s="1230"/>
      <c r="M148" s="1228"/>
      <c r="N148" s="1216"/>
      <c r="O148" s="1216"/>
      <c r="P148" s="1216"/>
      <c r="Q148" s="1216"/>
    </row>
    <row r="149" spans="1:17" ht="46.5" x14ac:dyDescent="0.35">
      <c r="A149" s="1279">
        <v>1</v>
      </c>
      <c r="B149" s="1280" t="s">
        <v>1389</v>
      </c>
      <c r="C149" s="1240">
        <v>1</v>
      </c>
      <c r="D149" s="1240">
        <v>6</v>
      </c>
      <c r="E149" s="1242">
        <v>1</v>
      </c>
      <c r="F149" s="1242">
        <v>2</v>
      </c>
      <c r="G149" s="1242"/>
      <c r="H149" s="1242">
        <v>1</v>
      </c>
      <c r="I149" s="1242">
        <v>1</v>
      </c>
      <c r="J149" s="1678">
        <v>1</v>
      </c>
      <c r="K149" s="2630">
        <v>0.68</v>
      </c>
      <c r="L149" s="1230"/>
      <c r="M149" s="1281"/>
      <c r="N149" s="1216"/>
      <c r="O149" s="1216"/>
      <c r="P149" s="1216"/>
      <c r="Q149" s="1216"/>
    </row>
    <row r="150" spans="1:17" ht="77.5" x14ac:dyDescent="0.35">
      <c r="A150" s="1279">
        <v>2</v>
      </c>
      <c r="B150" s="1280" t="s">
        <v>1390</v>
      </c>
      <c r="C150" s="1240">
        <v>1</v>
      </c>
      <c r="D150" s="1240">
        <v>2</v>
      </c>
      <c r="E150" s="1242">
        <v>1</v>
      </c>
      <c r="F150" s="1242">
        <v>0</v>
      </c>
      <c r="G150" s="1242">
        <v>0</v>
      </c>
      <c r="H150" s="1242">
        <v>0</v>
      </c>
      <c r="I150" s="1242">
        <v>1</v>
      </c>
      <c r="J150" s="1678">
        <v>0</v>
      </c>
      <c r="K150" s="2630">
        <v>0.51</v>
      </c>
      <c r="L150" s="1230"/>
      <c r="M150" s="1282"/>
      <c r="N150" s="1216"/>
      <c r="O150" s="1216"/>
      <c r="P150" s="1216"/>
      <c r="Q150" s="1216"/>
    </row>
    <row r="151" spans="1:17" ht="46.5" x14ac:dyDescent="0.35">
      <c r="A151" s="1279">
        <v>3</v>
      </c>
      <c r="B151" s="1229" t="s">
        <v>1391</v>
      </c>
      <c r="C151" s="1240">
        <v>2</v>
      </c>
      <c r="D151" s="1240">
        <v>3</v>
      </c>
      <c r="E151" s="1242">
        <v>0</v>
      </c>
      <c r="F151" s="1242">
        <v>1</v>
      </c>
      <c r="G151" s="1242">
        <v>0</v>
      </c>
      <c r="H151" s="1242">
        <v>0</v>
      </c>
      <c r="I151" s="1242">
        <v>2</v>
      </c>
      <c r="J151" s="1678">
        <v>0</v>
      </c>
      <c r="K151" s="2630">
        <v>0.39</v>
      </c>
      <c r="L151" s="1230"/>
      <c r="M151" s="1282"/>
      <c r="N151" s="1216"/>
      <c r="O151" s="1216"/>
      <c r="P151" s="1216"/>
      <c r="Q151" s="1216"/>
    </row>
    <row r="152" spans="1:17" ht="23.5" thickBot="1" x14ac:dyDescent="0.4">
      <c r="A152" s="1283"/>
      <c r="B152" s="1284" t="s">
        <v>1357</v>
      </c>
      <c r="C152" s="1285">
        <f>SUM(C149:C151)</f>
        <v>4</v>
      </c>
      <c r="D152" s="1285">
        <f t="shared" ref="D152:J152" si="15">SUM(D149:D151)</f>
        <v>11</v>
      </c>
      <c r="E152" s="1285">
        <f t="shared" si="15"/>
        <v>2</v>
      </c>
      <c r="F152" s="1285">
        <f t="shared" si="15"/>
        <v>3</v>
      </c>
      <c r="G152" s="1285">
        <f t="shared" si="15"/>
        <v>0</v>
      </c>
      <c r="H152" s="1285">
        <f t="shared" si="15"/>
        <v>1</v>
      </c>
      <c r="I152" s="1285">
        <f t="shared" si="15"/>
        <v>4</v>
      </c>
      <c r="J152" s="1692">
        <f t="shared" si="15"/>
        <v>1</v>
      </c>
      <c r="K152" s="2647">
        <f>'[2]3. Min. of Special Duties'!I28</f>
        <v>0.56356925820340453</v>
      </c>
      <c r="L152" s="1609" t="s">
        <v>1543</v>
      </c>
      <c r="M152" s="1286"/>
      <c r="N152" s="1216"/>
      <c r="O152" s="1216"/>
      <c r="P152" s="1216"/>
      <c r="Q152" s="1216"/>
    </row>
    <row r="153" spans="1:17" ht="16" thickTop="1" x14ac:dyDescent="0.35">
      <c r="A153" s="1225"/>
      <c r="B153" s="1216"/>
      <c r="C153" s="1216"/>
      <c r="D153" s="1216"/>
      <c r="E153" s="1215"/>
      <c r="F153" s="1215"/>
      <c r="G153" s="1215"/>
      <c r="H153" s="1215"/>
      <c r="I153" s="1215"/>
      <c r="J153" s="1235"/>
      <c r="K153" s="1225"/>
      <c r="L153" s="1230"/>
      <c r="M153" s="1228"/>
      <c r="N153" s="1216"/>
      <c r="O153" s="1216"/>
      <c r="P153" s="1216"/>
      <c r="Q153" s="1216"/>
    </row>
    <row r="154" spans="1:17" ht="15.5" x14ac:dyDescent="0.35">
      <c r="A154" s="1225"/>
      <c r="B154" s="1248" t="s">
        <v>1274</v>
      </c>
      <c r="C154" s="1216"/>
      <c r="D154" s="1216"/>
      <c r="E154" s="1215"/>
      <c r="F154" s="1215"/>
      <c r="G154" s="1215"/>
      <c r="H154" s="1215"/>
      <c r="I154" s="1215"/>
      <c r="J154" s="1235"/>
      <c r="K154" s="2632"/>
      <c r="L154" s="1230"/>
      <c r="M154" s="1228"/>
      <c r="N154" s="1216"/>
      <c r="O154" s="1216"/>
      <c r="P154" s="1216"/>
      <c r="Q154" s="1216"/>
    </row>
    <row r="155" spans="1:17" ht="31" x14ac:dyDescent="0.35">
      <c r="A155" s="1225">
        <v>1</v>
      </c>
      <c r="B155" s="1229" t="s">
        <v>1392</v>
      </c>
      <c r="C155" s="1258">
        <v>1</v>
      </c>
      <c r="D155" s="1258">
        <v>6</v>
      </c>
      <c r="E155" s="1245">
        <v>1</v>
      </c>
      <c r="F155" s="1245">
        <v>1</v>
      </c>
      <c r="G155" s="1245">
        <v>0</v>
      </c>
      <c r="H155" s="1245">
        <v>1</v>
      </c>
      <c r="I155" s="1245">
        <v>1</v>
      </c>
      <c r="J155" s="1679">
        <v>2</v>
      </c>
      <c r="K155" s="2632">
        <f>'[2]5. Min. of Budget'!I13</f>
        <v>0.61361111111111111</v>
      </c>
      <c r="L155" s="1230"/>
      <c r="M155" s="1228"/>
      <c r="N155" s="1216"/>
      <c r="O155" s="1216"/>
      <c r="P155" s="1216"/>
      <c r="Q155" s="1216"/>
    </row>
    <row r="156" spans="1:17" ht="46.5" x14ac:dyDescent="0.35">
      <c r="A156" s="1225">
        <v>2</v>
      </c>
      <c r="B156" s="1229" t="s">
        <v>1393</v>
      </c>
      <c r="C156" s="1258">
        <v>3</v>
      </c>
      <c r="D156" s="1258">
        <v>5</v>
      </c>
      <c r="E156" s="1245">
        <v>0</v>
      </c>
      <c r="F156" s="1245">
        <v>1</v>
      </c>
      <c r="G156" s="1245">
        <v>0</v>
      </c>
      <c r="H156" s="1245">
        <v>1</v>
      </c>
      <c r="I156" s="1245">
        <v>3</v>
      </c>
      <c r="J156" s="1679">
        <v>0</v>
      </c>
      <c r="K156" s="2632">
        <f>'[2]5. Min. of Budget'!I20</f>
        <v>0.33015873015873015</v>
      </c>
      <c r="L156" s="1230"/>
      <c r="M156" s="1228"/>
      <c r="N156" s="1216"/>
      <c r="O156" s="1216"/>
      <c r="P156" s="1216"/>
      <c r="Q156" s="1216"/>
    </row>
    <row r="157" spans="1:17" ht="31" x14ac:dyDescent="0.35">
      <c r="A157" s="1225">
        <v>3</v>
      </c>
      <c r="B157" s="1229" t="s">
        <v>1394</v>
      </c>
      <c r="C157" s="1258">
        <v>1</v>
      </c>
      <c r="D157" s="1258">
        <v>2</v>
      </c>
      <c r="E157" s="1245">
        <v>0</v>
      </c>
      <c r="F157" s="1245">
        <v>2</v>
      </c>
      <c r="G157" s="1245">
        <v>0</v>
      </c>
      <c r="H157" s="1245">
        <v>0</v>
      </c>
      <c r="I157" s="1245">
        <v>0</v>
      </c>
      <c r="J157" s="1679">
        <v>0</v>
      </c>
      <c r="K157" s="2632">
        <f>'[2]5. Min. of Budget'!I24</f>
        <v>0.85714285714285721</v>
      </c>
      <c r="L157" s="1230"/>
      <c r="M157" s="1228"/>
      <c r="N157" s="1216"/>
      <c r="O157" s="1216"/>
      <c r="P157" s="1216"/>
      <c r="Q157" s="1216"/>
    </row>
    <row r="158" spans="1:17" ht="46.5" x14ac:dyDescent="0.35">
      <c r="A158" s="1225">
        <v>4</v>
      </c>
      <c r="B158" s="1229" t="s">
        <v>1395</v>
      </c>
      <c r="C158" s="1258">
        <v>2</v>
      </c>
      <c r="D158" s="1258">
        <v>5</v>
      </c>
      <c r="E158" s="1245">
        <v>0</v>
      </c>
      <c r="F158" s="1245">
        <v>4</v>
      </c>
      <c r="G158" s="1245">
        <v>0</v>
      </c>
      <c r="H158" s="1245">
        <v>1</v>
      </c>
      <c r="I158" s="1245">
        <v>0</v>
      </c>
      <c r="J158" s="1679">
        <v>0</v>
      </c>
      <c r="K158" s="2632">
        <f>'[2]5. Min. of Budget'!I31</f>
        <v>0.75571428571428578</v>
      </c>
      <c r="L158" s="1230"/>
      <c r="M158" s="1228"/>
      <c r="N158" s="1216"/>
      <c r="O158" s="1216"/>
      <c r="P158" s="1216"/>
      <c r="Q158" s="1216"/>
    </row>
    <row r="159" spans="1:17" ht="15.5" x14ac:dyDescent="0.35">
      <c r="A159" s="1225" t="s">
        <v>636</v>
      </c>
      <c r="B159" s="1229"/>
      <c r="C159" s="1258"/>
      <c r="D159" s="1258"/>
      <c r="E159" s="1245"/>
      <c r="F159" s="1245"/>
      <c r="G159" s="1245"/>
      <c r="H159" s="1245"/>
      <c r="I159" s="1245"/>
      <c r="J159" s="1679"/>
      <c r="K159" s="2632"/>
      <c r="L159" s="1230"/>
      <c r="M159" s="1228"/>
      <c r="N159" s="1216"/>
      <c r="O159" s="1216"/>
      <c r="P159" s="1216"/>
      <c r="Q159" s="1216"/>
    </row>
    <row r="160" spans="1:17" ht="31.5" thickBot="1" x14ac:dyDescent="0.4">
      <c r="A160" s="1287" t="s">
        <v>636</v>
      </c>
      <c r="B160" s="1288"/>
      <c r="C160" s="1260">
        <f>SUM(C155:C159)</f>
        <v>7</v>
      </c>
      <c r="D160" s="1260">
        <f t="shared" ref="D160:J160" si="16">SUM(D155:D159)</f>
        <v>18</v>
      </c>
      <c r="E160" s="1260">
        <f t="shared" si="16"/>
        <v>1</v>
      </c>
      <c r="F160" s="1260">
        <f t="shared" si="16"/>
        <v>8</v>
      </c>
      <c r="G160" s="1260">
        <f t="shared" si="16"/>
        <v>0</v>
      </c>
      <c r="H160" s="1260">
        <f t="shared" si="16"/>
        <v>3</v>
      </c>
      <c r="I160" s="1260">
        <f t="shared" si="16"/>
        <v>4</v>
      </c>
      <c r="J160" s="1683">
        <f t="shared" si="16"/>
        <v>2</v>
      </c>
      <c r="K160" s="1944">
        <f>'[2]5. Min. of Budget'!H32</f>
        <v>0.5998809523809524</v>
      </c>
      <c r="L160" s="1308" t="s">
        <v>1534</v>
      </c>
      <c r="M160" s="1289"/>
      <c r="N160" s="1290"/>
      <c r="O160" s="1216"/>
      <c r="P160" s="1216"/>
      <c r="Q160" s="1216"/>
    </row>
    <row r="161" spans="1:17" ht="16" thickTop="1" x14ac:dyDescent="0.35">
      <c r="A161" s="1225"/>
      <c r="B161" s="1216"/>
      <c r="C161" s="1216"/>
      <c r="D161" s="1697"/>
      <c r="E161" s="1698"/>
      <c r="F161" s="1698"/>
      <c r="G161" s="1698"/>
      <c r="H161" s="1698"/>
      <c r="I161" s="1698"/>
      <c r="J161" s="1699"/>
      <c r="K161" s="1225"/>
      <c r="L161" s="1230"/>
      <c r="M161" s="1228"/>
      <c r="N161" s="1216"/>
      <c r="O161" s="1216"/>
      <c r="P161" s="1216"/>
      <c r="Q161" s="1216"/>
    </row>
    <row r="162" spans="1:17" ht="15.5" x14ac:dyDescent="0.35">
      <c r="A162" s="1225"/>
      <c r="B162" s="1248" t="s">
        <v>1285</v>
      </c>
      <c r="C162" s="1216"/>
      <c r="D162" s="1697"/>
      <c r="E162" s="1698"/>
      <c r="F162" s="1698"/>
      <c r="G162" s="1698"/>
      <c r="H162" s="1698"/>
      <c r="I162" s="1698"/>
      <c r="J162" s="1699"/>
      <c r="K162" s="1225"/>
      <c r="L162" s="1230"/>
      <c r="M162" s="1228"/>
      <c r="N162" s="1216"/>
      <c r="O162" s="1216"/>
      <c r="P162" s="1216"/>
      <c r="Q162" s="1216"/>
    </row>
    <row r="163" spans="1:17" ht="31" x14ac:dyDescent="0.35">
      <c r="A163" s="1225">
        <v>1</v>
      </c>
      <c r="B163" s="1229" t="s">
        <v>1396</v>
      </c>
      <c r="C163" s="1216">
        <v>9</v>
      </c>
      <c r="D163" s="1697">
        <v>29</v>
      </c>
      <c r="E163" s="1698">
        <v>6</v>
      </c>
      <c r="F163" s="1698">
        <v>8</v>
      </c>
      <c r="G163" s="1698">
        <v>1</v>
      </c>
      <c r="H163" s="1698">
        <v>2</v>
      </c>
      <c r="I163" s="1698">
        <v>11</v>
      </c>
      <c r="J163" s="1699">
        <v>1</v>
      </c>
      <c r="K163" s="2638">
        <f>'[2]21. MoJustice'!H34</f>
        <v>0.56943897099069507</v>
      </c>
      <c r="L163" s="1230" t="s">
        <v>1543</v>
      </c>
      <c r="M163" s="1228"/>
      <c r="N163" s="1216"/>
      <c r="O163" s="1216"/>
      <c r="P163" s="1216"/>
      <c r="Q163" s="1216"/>
    </row>
    <row r="164" spans="1:17" ht="15.5" x14ac:dyDescent="0.35">
      <c r="A164" s="1225"/>
      <c r="B164" s="1229"/>
      <c r="C164" s="1216"/>
      <c r="D164" s="1697"/>
      <c r="E164" s="1698"/>
      <c r="F164" s="1698"/>
      <c r="G164" s="1698"/>
      <c r="H164" s="1698"/>
      <c r="I164" s="1698"/>
      <c r="J164" s="1699"/>
      <c r="K164" s="2638"/>
      <c r="L164" s="1230"/>
      <c r="M164" s="1228"/>
      <c r="N164" s="1216"/>
      <c r="O164" s="1216"/>
      <c r="P164" s="1216"/>
      <c r="Q164" s="1216"/>
    </row>
    <row r="165" spans="1:17" ht="23.5" thickBot="1" x14ac:dyDescent="0.4">
      <c r="A165" s="1944" t="s">
        <v>636</v>
      </c>
      <c r="B165" s="1288"/>
      <c r="C165" s="1260">
        <f>C163</f>
        <v>9</v>
      </c>
      <c r="D165" s="1260">
        <f t="shared" ref="D165:K165" si="17">D163</f>
        <v>29</v>
      </c>
      <c r="E165" s="1260">
        <f t="shared" si="17"/>
        <v>6</v>
      </c>
      <c r="F165" s="1260">
        <f t="shared" si="17"/>
        <v>8</v>
      </c>
      <c r="G165" s="1260">
        <f t="shared" si="17"/>
        <v>1</v>
      </c>
      <c r="H165" s="1260">
        <f t="shared" si="17"/>
        <v>2</v>
      </c>
      <c r="I165" s="1260">
        <f t="shared" si="17"/>
        <v>11</v>
      </c>
      <c r="J165" s="1260">
        <f t="shared" si="17"/>
        <v>1</v>
      </c>
      <c r="K165" s="1944">
        <f t="shared" si="17"/>
        <v>0.56943897099069507</v>
      </c>
      <c r="L165" s="1609" t="s">
        <v>1543</v>
      </c>
      <c r="M165" s="1289"/>
      <c r="N165" s="1290"/>
      <c r="O165" s="1216"/>
      <c r="P165" s="1216"/>
      <c r="Q165" s="1216"/>
    </row>
    <row r="166" spans="1:17" ht="16" thickTop="1" x14ac:dyDescent="0.35">
      <c r="A166" s="1225"/>
      <c r="B166" s="1216"/>
      <c r="C166" s="1216"/>
      <c r="D166" s="1697"/>
      <c r="E166" s="1698"/>
      <c r="F166" s="1698"/>
      <c r="G166" s="1698"/>
      <c r="H166" s="1698"/>
      <c r="I166" s="1698"/>
      <c r="J166" s="1699"/>
      <c r="K166" s="1225"/>
      <c r="L166" s="1230"/>
      <c r="M166" s="1228"/>
      <c r="N166" s="1216"/>
      <c r="O166" s="1216"/>
      <c r="P166" s="1216"/>
      <c r="Q166" s="1216"/>
    </row>
    <row r="167" spans="1:17" ht="15.5" x14ac:dyDescent="0.35">
      <c r="A167" s="1225"/>
      <c r="B167" s="1216"/>
      <c r="C167" s="1216"/>
      <c r="D167" s="1697"/>
      <c r="E167" s="1698"/>
      <c r="F167" s="1698"/>
      <c r="G167" s="1698"/>
      <c r="H167" s="1698"/>
      <c r="I167" s="1698"/>
      <c r="J167" s="1699"/>
      <c r="K167" s="1225"/>
      <c r="L167" s="1230"/>
      <c r="M167" s="1228"/>
      <c r="N167" s="1216"/>
      <c r="O167" s="1216"/>
      <c r="P167" s="1216"/>
      <c r="Q167" s="1216"/>
    </row>
    <row r="168" spans="1:17" ht="15.5" x14ac:dyDescent="0.35">
      <c r="A168" s="2002" t="s">
        <v>1411</v>
      </c>
      <c r="B168" s="2002"/>
      <c r="C168" s="2002"/>
      <c r="D168" s="2002"/>
      <c r="E168" s="2002"/>
      <c r="F168" s="2002"/>
      <c r="G168" s="2002"/>
      <c r="H168" s="2002"/>
      <c r="I168" s="2002"/>
      <c r="J168" s="2002"/>
      <c r="K168" s="2002"/>
      <c r="L168" s="2002"/>
      <c r="M168" s="1228"/>
      <c r="N168" s="1216"/>
      <c r="O168" s="1216"/>
      <c r="P168" s="1216"/>
      <c r="Q168" s="1216"/>
    </row>
    <row r="169" spans="1:17" ht="15.5" x14ac:dyDescent="0.35">
      <c r="A169" s="2663" t="s">
        <v>1083</v>
      </c>
      <c r="B169" s="2660" t="s">
        <v>1084</v>
      </c>
      <c r="C169" s="2000" t="s">
        <v>445</v>
      </c>
      <c r="D169" s="2000" t="s">
        <v>1085</v>
      </c>
      <c r="E169" s="2656" t="s">
        <v>1086</v>
      </c>
      <c r="F169" s="2657"/>
      <c r="G169" s="2657"/>
      <c r="H169" s="2658"/>
      <c r="I169" s="1917"/>
      <c r="J169" s="1918"/>
      <c r="K169" s="2007" t="s">
        <v>1087</v>
      </c>
      <c r="L169" s="2008"/>
      <c r="M169" s="1228"/>
      <c r="N169" s="1216"/>
      <c r="O169" s="1216"/>
      <c r="P169" s="1216"/>
      <c r="Q169" s="1216"/>
    </row>
    <row r="170" spans="1:17" ht="39" x14ac:dyDescent="0.35">
      <c r="A170" s="2664"/>
      <c r="B170" s="2661"/>
      <c r="C170" s="2659"/>
      <c r="D170" s="2659"/>
      <c r="E170" s="1916" t="s">
        <v>1088</v>
      </c>
      <c r="F170" s="1916" t="s">
        <v>1089</v>
      </c>
      <c r="G170" s="1916" t="s">
        <v>1090</v>
      </c>
      <c r="H170" s="1916" t="s">
        <v>1091</v>
      </c>
      <c r="I170" s="1916" t="s">
        <v>1092</v>
      </c>
      <c r="J170" s="1814" t="s">
        <v>660</v>
      </c>
      <c r="K170" s="2009"/>
      <c r="L170" s="2655"/>
      <c r="M170" s="1228"/>
      <c r="N170" s="1216"/>
      <c r="O170" s="1216"/>
      <c r="P170" s="1216"/>
      <c r="Q170" s="1216"/>
    </row>
    <row r="171" spans="1:17" ht="15.5" x14ac:dyDescent="0.35">
      <c r="A171" s="2665"/>
      <c r="B171" s="2662"/>
      <c r="C171" s="2001"/>
      <c r="D171" s="2001"/>
      <c r="E171" s="1916" t="s">
        <v>1412</v>
      </c>
      <c r="F171" s="1916" t="s">
        <v>1414</v>
      </c>
      <c r="G171" s="1916" t="s">
        <v>1415</v>
      </c>
      <c r="H171" s="1916" t="s">
        <v>1416</v>
      </c>
      <c r="I171" s="1916" t="s">
        <v>1413</v>
      </c>
      <c r="J171" s="937" t="s">
        <v>1104</v>
      </c>
      <c r="K171" s="937" t="s">
        <v>25</v>
      </c>
      <c r="L171" s="938" t="s">
        <v>1093</v>
      </c>
      <c r="M171" s="1228"/>
      <c r="N171" s="1216"/>
      <c r="O171" s="1216"/>
      <c r="P171" s="1216"/>
      <c r="Q171" s="1216"/>
    </row>
    <row r="172" spans="1:17" ht="15.5" x14ac:dyDescent="0.35">
      <c r="A172" s="1225"/>
      <c r="B172" s="1248" t="s">
        <v>1397</v>
      </c>
      <c r="C172" s="1216"/>
      <c r="D172" s="1697"/>
      <c r="E172" s="1698"/>
      <c r="F172" s="1698"/>
      <c r="G172" s="1698"/>
      <c r="H172" s="1698"/>
      <c r="I172" s="1698"/>
      <c r="J172" s="1699"/>
      <c r="K172" s="1225"/>
      <c r="L172" s="1230"/>
      <c r="M172" s="1228"/>
      <c r="N172" s="1216"/>
      <c r="O172" s="1216"/>
      <c r="P172" s="1216"/>
      <c r="Q172" s="1216"/>
    </row>
    <row r="173" spans="1:17" ht="15.5" x14ac:dyDescent="0.35">
      <c r="A173" s="1225"/>
      <c r="B173" s="1248"/>
      <c r="C173" s="1216"/>
      <c r="D173" s="1697"/>
      <c r="E173" s="1698"/>
      <c r="F173" s="1698"/>
      <c r="G173" s="1698"/>
      <c r="H173" s="1698"/>
      <c r="I173" s="1698"/>
      <c r="J173" s="1699"/>
      <c r="K173" s="1225"/>
      <c r="L173" s="1230"/>
      <c r="M173" s="1228"/>
      <c r="N173" s="1216"/>
      <c r="O173" s="1216"/>
      <c r="P173" s="1216"/>
      <c r="Q173" s="1216"/>
    </row>
    <row r="174" spans="1:17" ht="62" x14ac:dyDescent="0.35">
      <c r="A174" s="1225">
        <v>1</v>
      </c>
      <c r="B174" s="1229" t="s">
        <v>1552</v>
      </c>
      <c r="C174" s="1684">
        <v>1</v>
      </c>
      <c r="D174" s="1684">
        <v>5</v>
      </c>
      <c r="E174" s="1679">
        <v>3</v>
      </c>
      <c r="F174" s="1679">
        <v>0</v>
      </c>
      <c r="G174" s="1679">
        <v>0</v>
      </c>
      <c r="H174" s="1679">
        <v>0</v>
      </c>
      <c r="I174" s="1679">
        <v>0</v>
      </c>
      <c r="J174" s="1679">
        <v>2</v>
      </c>
      <c r="K174" s="2638">
        <f>'2. SSGs Office'!I10</f>
        <v>0.875</v>
      </c>
      <c r="L174" s="1230" t="s">
        <v>1544</v>
      </c>
      <c r="M174" s="1228"/>
      <c r="N174" s="1216"/>
      <c r="O174" s="1216"/>
      <c r="P174" s="1216"/>
      <c r="Q174" s="1216"/>
    </row>
    <row r="175" spans="1:17" ht="62" x14ac:dyDescent="0.35">
      <c r="A175" s="1225">
        <v>2</v>
      </c>
      <c r="B175" s="1229" t="s">
        <v>1209</v>
      </c>
      <c r="C175" s="1684">
        <v>1</v>
      </c>
      <c r="D175" s="1684">
        <v>1</v>
      </c>
      <c r="E175" s="1679">
        <v>0</v>
      </c>
      <c r="F175" s="1679">
        <v>0</v>
      </c>
      <c r="G175" s="1679">
        <v>0</v>
      </c>
      <c r="H175" s="1679">
        <v>0</v>
      </c>
      <c r="I175" s="1679">
        <v>0</v>
      </c>
      <c r="J175" s="1679">
        <v>1</v>
      </c>
      <c r="K175" s="1225" t="str">
        <f>'2. SSGs Office'!I13</f>
        <v>NA</v>
      </c>
      <c r="L175" s="1230" t="s">
        <v>1593</v>
      </c>
      <c r="M175" s="1228"/>
      <c r="N175" s="1216"/>
      <c r="O175" s="1216"/>
      <c r="P175" s="1216"/>
      <c r="Q175" s="1216"/>
    </row>
    <row r="176" spans="1:17" ht="62" x14ac:dyDescent="0.35">
      <c r="A176" s="1225">
        <v>3</v>
      </c>
      <c r="B176" s="1229" t="s">
        <v>860</v>
      </c>
      <c r="C176" s="1684">
        <v>1</v>
      </c>
      <c r="D176" s="1684">
        <v>1</v>
      </c>
      <c r="E176" s="1679">
        <v>0</v>
      </c>
      <c r="F176" s="1679">
        <v>0</v>
      </c>
      <c r="G176" s="1679">
        <v>0</v>
      </c>
      <c r="H176" s="1679">
        <v>0</v>
      </c>
      <c r="I176" s="1679">
        <v>0</v>
      </c>
      <c r="J176" s="1679">
        <v>1</v>
      </c>
      <c r="K176" s="1225" t="str">
        <f>'2. SSGs Office'!I16</f>
        <v>NA</v>
      </c>
      <c r="L176" s="1230" t="s">
        <v>1593</v>
      </c>
      <c r="M176" s="1228"/>
      <c r="N176" s="1216"/>
      <c r="O176" s="1216"/>
      <c r="P176" s="1216"/>
      <c r="Q176" s="1216"/>
    </row>
    <row r="177" spans="1:17" ht="93" x14ac:dyDescent="0.35">
      <c r="A177" s="1225">
        <v>4</v>
      </c>
      <c r="B177" s="1229" t="s">
        <v>1578</v>
      </c>
      <c r="C177" s="1684">
        <v>1</v>
      </c>
      <c r="D177" s="1684">
        <v>1</v>
      </c>
      <c r="E177" s="1679">
        <v>0</v>
      </c>
      <c r="F177" s="1679">
        <v>0</v>
      </c>
      <c r="G177" s="1679">
        <v>0</v>
      </c>
      <c r="H177" s="1679">
        <v>0</v>
      </c>
      <c r="I177" s="1679">
        <v>0</v>
      </c>
      <c r="J177" s="1679">
        <v>1</v>
      </c>
      <c r="K177" s="1225" t="str">
        <f>'2. SSGs Office'!I19</f>
        <v>NA</v>
      </c>
      <c r="L177" s="1230" t="s">
        <v>1593</v>
      </c>
      <c r="M177" s="1228"/>
      <c r="N177" s="1216"/>
      <c r="O177" s="1216"/>
      <c r="P177" s="1216"/>
      <c r="Q177" s="1216"/>
    </row>
    <row r="178" spans="1:17" ht="62" x14ac:dyDescent="0.35">
      <c r="A178" s="1225">
        <v>5</v>
      </c>
      <c r="B178" s="1229" t="s">
        <v>1579</v>
      </c>
      <c r="C178" s="1684">
        <v>1</v>
      </c>
      <c r="D178" s="1684">
        <v>2</v>
      </c>
      <c r="E178" s="1679">
        <v>1</v>
      </c>
      <c r="F178" s="1679">
        <v>1</v>
      </c>
      <c r="G178" s="1679">
        <v>0</v>
      </c>
      <c r="H178" s="1679">
        <v>0</v>
      </c>
      <c r="I178" s="1679">
        <v>0</v>
      </c>
      <c r="J178" s="1679">
        <v>0</v>
      </c>
      <c r="K178" s="2638">
        <f>'2. SSGs Office'!I23</f>
        <v>1.0049999999999999</v>
      </c>
      <c r="L178" s="1230" t="s">
        <v>1549</v>
      </c>
      <c r="M178" s="1228"/>
      <c r="N178" s="1216"/>
      <c r="O178" s="1216"/>
      <c r="P178" s="1216"/>
      <c r="Q178" s="1216"/>
    </row>
    <row r="179" spans="1:17" ht="62" x14ac:dyDescent="0.35">
      <c r="A179" s="1225">
        <v>6</v>
      </c>
      <c r="B179" s="1229" t="s">
        <v>1580</v>
      </c>
      <c r="C179" s="1684">
        <v>1</v>
      </c>
      <c r="D179" s="1684">
        <v>2</v>
      </c>
      <c r="E179" s="1679">
        <v>1</v>
      </c>
      <c r="F179" s="1679">
        <v>1</v>
      </c>
      <c r="G179" s="1679">
        <v>0</v>
      </c>
      <c r="H179" s="1679">
        <v>0</v>
      </c>
      <c r="I179" s="1679">
        <v>0</v>
      </c>
      <c r="J179" s="1679">
        <v>0</v>
      </c>
      <c r="K179" s="2632">
        <f>'2. SSGs Office'!I28</f>
        <v>1.0049999999999999</v>
      </c>
      <c r="L179" s="1230" t="s">
        <v>1549</v>
      </c>
      <c r="M179" s="1228"/>
      <c r="N179" s="1216"/>
      <c r="O179" s="1216"/>
      <c r="P179" s="1216"/>
      <c r="Q179" s="1216"/>
    </row>
    <row r="180" spans="1:17" ht="62" x14ac:dyDescent="0.35">
      <c r="A180" s="1225">
        <v>7</v>
      </c>
      <c r="B180" s="1229" t="s">
        <v>1591</v>
      </c>
      <c r="C180" s="1684">
        <v>2</v>
      </c>
      <c r="D180" s="1684">
        <v>4</v>
      </c>
      <c r="E180" s="1679">
        <v>0</v>
      </c>
      <c r="F180" s="1679">
        <v>0</v>
      </c>
      <c r="G180" s="1679">
        <v>0</v>
      </c>
      <c r="H180" s="1679">
        <v>0</v>
      </c>
      <c r="I180" s="1679">
        <v>1</v>
      </c>
      <c r="J180" s="1679">
        <v>3</v>
      </c>
      <c r="K180" s="2638">
        <f>'2. SSGs Office'!I34</f>
        <v>0</v>
      </c>
      <c r="L180" s="1230" t="s">
        <v>1547</v>
      </c>
      <c r="M180" s="1228"/>
      <c r="N180" s="1216"/>
      <c r="O180" s="1216"/>
      <c r="P180" s="1216"/>
      <c r="Q180" s="1216"/>
    </row>
    <row r="181" spans="1:17" ht="46.5" x14ac:dyDescent="0.35">
      <c r="A181" s="1225">
        <v>8</v>
      </c>
      <c r="B181" s="1229" t="s">
        <v>1592</v>
      </c>
      <c r="C181" s="1684">
        <v>1</v>
      </c>
      <c r="D181" s="1684">
        <v>3</v>
      </c>
      <c r="E181" s="1679">
        <v>0</v>
      </c>
      <c r="F181" s="1679">
        <v>0</v>
      </c>
      <c r="G181" s="1679">
        <v>0</v>
      </c>
      <c r="H181" s="1679">
        <v>0</v>
      </c>
      <c r="I181" s="1679">
        <v>2</v>
      </c>
      <c r="J181" s="1679">
        <v>1</v>
      </c>
      <c r="K181" s="2638">
        <f>'2. SSGs Office'!I39</f>
        <v>0.125</v>
      </c>
      <c r="L181" s="1230" t="s">
        <v>1547</v>
      </c>
      <c r="M181" s="1228"/>
      <c r="N181" s="1228"/>
      <c r="O181" s="1228"/>
      <c r="P181" s="1216"/>
      <c r="Q181" s="1216"/>
    </row>
    <row r="182" spans="1:17" ht="15.5" x14ac:dyDescent="0.35">
      <c r="A182" s="1291"/>
      <c r="B182" s="1229"/>
      <c r="C182" s="1241"/>
      <c r="D182" s="1241"/>
      <c r="E182" s="1241"/>
      <c r="F182" s="1241"/>
      <c r="G182" s="1241"/>
      <c r="H182" s="1241"/>
      <c r="I182" s="1241"/>
      <c r="J182" s="1241"/>
      <c r="K182" s="2628"/>
      <c r="L182" s="1230"/>
      <c r="M182" s="1228"/>
      <c r="N182" s="1228"/>
      <c r="O182" s="1228"/>
      <c r="P182" s="1216"/>
      <c r="Q182" s="1216"/>
    </row>
    <row r="183" spans="1:17" ht="23.5" thickBot="1" x14ac:dyDescent="0.4">
      <c r="A183" s="1292" t="s">
        <v>636</v>
      </c>
      <c r="B183" s="1293"/>
      <c r="C183" s="1683">
        <f>SUM(C174:C182)</f>
        <v>9</v>
      </c>
      <c r="D183" s="1683">
        <f t="shared" ref="D183:J183" si="18">SUM(D174:D182)</f>
        <v>19</v>
      </c>
      <c r="E183" s="1683">
        <f t="shared" si="18"/>
        <v>5</v>
      </c>
      <c r="F183" s="1683">
        <f t="shared" si="18"/>
        <v>2</v>
      </c>
      <c r="G183" s="1683">
        <f t="shared" si="18"/>
        <v>0</v>
      </c>
      <c r="H183" s="1683">
        <f t="shared" si="18"/>
        <v>0</v>
      </c>
      <c r="I183" s="1683">
        <f t="shared" si="18"/>
        <v>3</v>
      </c>
      <c r="J183" s="1683">
        <f t="shared" si="18"/>
        <v>9</v>
      </c>
      <c r="K183" s="2654">
        <f>'2. SSGs Office'!H40</f>
        <v>0.68533333333333335</v>
      </c>
      <c r="L183" s="1609" t="s">
        <v>1534</v>
      </c>
      <c r="M183" s="1228"/>
      <c r="N183" s="1228"/>
      <c r="O183" s="1228"/>
      <c r="P183" s="1216"/>
      <c r="Q183" s="1216"/>
    </row>
    <row r="184" spans="1:17" ht="16" thickTop="1" x14ac:dyDescent="0.35">
      <c r="A184" s="1225"/>
      <c r="B184" s="1216"/>
      <c r="C184" s="1216"/>
      <c r="D184" s="1697"/>
      <c r="E184" s="1698"/>
      <c r="F184" s="1698"/>
      <c r="G184" s="1698"/>
      <c r="H184" s="1698"/>
      <c r="I184" s="1698"/>
      <c r="J184" s="1699"/>
      <c r="K184" s="1225"/>
      <c r="L184" s="1230"/>
      <c r="M184" s="1228"/>
      <c r="N184" s="1228"/>
      <c r="O184" s="1228"/>
      <c r="P184" s="1216"/>
      <c r="Q184" s="1216"/>
    </row>
    <row r="185" spans="1:17" ht="15.5" x14ac:dyDescent="0.35">
      <c r="A185" s="1225"/>
      <c r="B185" s="1248" t="s">
        <v>1398</v>
      </c>
      <c r="C185" s="1216"/>
      <c r="D185" s="1216"/>
      <c r="E185" s="1215"/>
      <c r="F185" s="1215"/>
      <c r="G185" s="1215"/>
      <c r="H185" s="1215"/>
      <c r="I185" s="1215"/>
      <c r="J185" s="1235"/>
      <c r="K185" s="1225"/>
      <c r="L185" s="1230"/>
      <c r="M185" s="1228"/>
      <c r="N185" s="1216"/>
      <c r="O185" s="1216"/>
      <c r="P185" s="1216"/>
      <c r="Q185" s="1216"/>
    </row>
    <row r="186" spans="1:17" ht="124" x14ac:dyDescent="0.35">
      <c r="A186" s="1279">
        <v>1</v>
      </c>
      <c r="B186" s="1294" t="s">
        <v>1399</v>
      </c>
      <c r="C186" s="1295">
        <v>1</v>
      </c>
      <c r="D186" s="1295">
        <v>17</v>
      </c>
      <c r="E186" s="1242">
        <v>0</v>
      </c>
      <c r="F186" s="1242">
        <v>5</v>
      </c>
      <c r="G186" s="1242">
        <v>2</v>
      </c>
      <c r="H186" s="1242">
        <v>1</v>
      </c>
      <c r="I186" s="1242">
        <v>7</v>
      </c>
      <c r="J186" s="1678">
        <v>2</v>
      </c>
      <c r="K186" s="2648">
        <f>'[2]11. Min. of Health'!I24</f>
        <v>0.45321428571428574</v>
      </c>
      <c r="L186" s="1230"/>
      <c r="M186" s="1296"/>
      <c r="N186" s="1294"/>
      <c r="O186" s="1216"/>
      <c r="P186" s="1216"/>
      <c r="Q186" s="1216"/>
    </row>
    <row r="187" spans="1:17" ht="31" x14ac:dyDescent="0.35">
      <c r="A187" s="1279">
        <v>2</v>
      </c>
      <c r="B187" s="1294" t="s">
        <v>1400</v>
      </c>
      <c r="C187" s="1295">
        <v>1</v>
      </c>
      <c r="D187" s="1295">
        <v>5</v>
      </c>
      <c r="E187" s="1242">
        <v>0</v>
      </c>
      <c r="F187" s="1242">
        <v>2</v>
      </c>
      <c r="G187" s="1242">
        <v>2</v>
      </c>
      <c r="H187" s="1242">
        <v>0</v>
      </c>
      <c r="I187" s="1242">
        <v>1</v>
      </c>
      <c r="J187" s="1678">
        <v>0</v>
      </c>
      <c r="K187" s="2648">
        <f>'[2]11. Min. of Health'!I32</f>
        <v>0.59333333333333338</v>
      </c>
      <c r="L187" s="1230"/>
      <c r="M187" s="1296"/>
      <c r="N187" s="1294"/>
      <c r="O187" s="1216"/>
      <c r="P187" s="1216"/>
      <c r="Q187" s="1216"/>
    </row>
    <row r="188" spans="1:17" ht="108.5" x14ac:dyDescent="0.35">
      <c r="A188" s="1279">
        <v>3</v>
      </c>
      <c r="B188" s="1294" t="s">
        <v>1401</v>
      </c>
      <c r="C188" s="1295">
        <v>3</v>
      </c>
      <c r="D188" s="1295">
        <v>17</v>
      </c>
      <c r="E188" s="1242">
        <v>5</v>
      </c>
      <c r="F188" s="1242">
        <v>5</v>
      </c>
      <c r="G188" s="1242">
        <v>2</v>
      </c>
      <c r="H188" s="1242">
        <v>3</v>
      </c>
      <c r="I188" s="1242">
        <v>1</v>
      </c>
      <c r="J188" s="1678">
        <v>1</v>
      </c>
      <c r="K188" s="2648">
        <f>'[2]11. Min. of Health'!$I$52</f>
        <v>0.73216332115074945</v>
      </c>
      <c r="L188" s="1230"/>
      <c r="M188" s="1296"/>
      <c r="N188" s="1294"/>
      <c r="O188" s="1216"/>
      <c r="P188" s="1216"/>
      <c r="Q188" s="1216"/>
    </row>
    <row r="189" spans="1:17" ht="77.5" x14ac:dyDescent="0.35">
      <c r="A189" s="1279">
        <v>4</v>
      </c>
      <c r="B189" s="1294" t="s">
        <v>1402</v>
      </c>
      <c r="C189" s="1295">
        <v>1</v>
      </c>
      <c r="D189" s="1295">
        <v>7</v>
      </c>
      <c r="E189" s="1242">
        <v>0</v>
      </c>
      <c r="F189" s="1242">
        <v>3</v>
      </c>
      <c r="G189" s="1242">
        <v>0</v>
      </c>
      <c r="H189" s="1242">
        <v>2</v>
      </c>
      <c r="I189" s="1242">
        <v>2</v>
      </c>
      <c r="J189" s="1678">
        <v>0</v>
      </c>
      <c r="K189" s="2648">
        <f>'[2]11. Min. of Health'!I63</f>
        <v>0.50089285714285714</v>
      </c>
      <c r="L189" s="1230"/>
      <c r="M189" s="1296"/>
      <c r="N189" s="1294"/>
      <c r="O189" s="1216"/>
      <c r="P189" s="1216"/>
      <c r="Q189" s="1216"/>
    </row>
    <row r="190" spans="1:17" ht="31" x14ac:dyDescent="0.35">
      <c r="A190" s="1279">
        <v>5</v>
      </c>
      <c r="B190" s="1294" t="s">
        <v>1403</v>
      </c>
      <c r="C190" s="1295">
        <v>1</v>
      </c>
      <c r="D190" s="1295">
        <v>6</v>
      </c>
      <c r="E190" s="1242">
        <v>0</v>
      </c>
      <c r="F190" s="1242">
        <v>3</v>
      </c>
      <c r="G190" s="1242">
        <v>0</v>
      </c>
      <c r="H190" s="1242">
        <v>2</v>
      </c>
      <c r="I190" s="1242">
        <v>1</v>
      </c>
      <c r="J190" s="1678">
        <v>0</v>
      </c>
      <c r="K190" s="2648">
        <f>'[2]11. Min. of Health'!I72</f>
        <v>0.512280701754386</v>
      </c>
      <c r="L190" s="1230"/>
      <c r="M190" s="1296"/>
      <c r="N190" s="1294"/>
      <c r="O190" s="1216"/>
      <c r="P190" s="1216"/>
      <c r="Q190" s="1216"/>
    </row>
    <row r="191" spans="1:17" ht="15.5" x14ac:dyDescent="0.35">
      <c r="A191" s="1279">
        <v>6</v>
      </c>
      <c r="B191" s="1294" t="s">
        <v>1404</v>
      </c>
      <c r="C191" s="1295">
        <v>1</v>
      </c>
      <c r="D191" s="1295">
        <v>5</v>
      </c>
      <c r="E191" s="1242">
        <v>0</v>
      </c>
      <c r="F191" s="1242">
        <v>0</v>
      </c>
      <c r="G191" s="1242">
        <v>1</v>
      </c>
      <c r="H191" s="1242">
        <v>2</v>
      </c>
      <c r="I191" s="1242">
        <v>2</v>
      </c>
      <c r="J191" s="1678"/>
      <c r="K191" s="2648">
        <f>'[2]11. Min. of Health'!I80</f>
        <v>0.31500000000000006</v>
      </c>
      <c r="L191" s="1230"/>
      <c r="M191" s="1296"/>
      <c r="N191" s="1294"/>
      <c r="O191" s="1216"/>
      <c r="P191" s="1216"/>
      <c r="Q191" s="1216"/>
    </row>
    <row r="192" spans="1:17" ht="23.5" thickBot="1" x14ac:dyDescent="0.4">
      <c r="A192" s="1925" t="s">
        <v>636</v>
      </c>
      <c r="B192" s="1926" t="s">
        <v>1405</v>
      </c>
      <c r="C192" s="1927">
        <f>SUM(C186:C191)</f>
        <v>8</v>
      </c>
      <c r="D192" s="1927">
        <f t="shared" ref="D192:J192" si="19">SUM(D186:D191)</f>
        <v>57</v>
      </c>
      <c r="E192" s="1927">
        <f t="shared" si="19"/>
        <v>5</v>
      </c>
      <c r="F192" s="1927">
        <f t="shared" si="19"/>
        <v>18</v>
      </c>
      <c r="G192" s="1927">
        <f t="shared" si="19"/>
        <v>7</v>
      </c>
      <c r="H192" s="1927">
        <f t="shared" si="19"/>
        <v>10</v>
      </c>
      <c r="I192" s="1927">
        <f t="shared" si="19"/>
        <v>14</v>
      </c>
      <c r="J192" s="1928">
        <f t="shared" si="19"/>
        <v>3</v>
      </c>
      <c r="K192" s="2649">
        <f>'[2]11. Min. of Health'!$H$81</f>
        <v>0.54791493015385651</v>
      </c>
      <c r="L192" s="1609" t="s">
        <v>1543</v>
      </c>
      <c r="M192" s="1929"/>
      <c r="N192" s="1930"/>
      <c r="O192" s="1216"/>
      <c r="P192" s="1216"/>
      <c r="Q192" s="1216"/>
    </row>
    <row r="193" spans="1:17" ht="16" thickTop="1" x14ac:dyDescent="0.35">
      <c r="A193" s="1225"/>
      <c r="B193" s="1216"/>
      <c r="C193" s="1216"/>
      <c r="D193" s="1216"/>
      <c r="E193" s="1215"/>
      <c r="F193" s="1215"/>
      <c r="G193" s="1215"/>
      <c r="H193" s="1215"/>
      <c r="I193" s="1215"/>
      <c r="J193" s="1235"/>
      <c r="K193" s="2650"/>
      <c r="L193" s="1230"/>
      <c r="M193" s="1228"/>
      <c r="N193" s="1216"/>
      <c r="O193" s="1216"/>
      <c r="P193" s="1216"/>
      <c r="Q193" s="1216"/>
    </row>
    <row r="194" spans="1:17" ht="15.5" x14ac:dyDescent="0.35">
      <c r="A194" s="1225"/>
      <c r="B194" s="1248" t="s">
        <v>1406</v>
      </c>
      <c r="C194" s="1216"/>
      <c r="D194" s="1216"/>
      <c r="E194" s="1215"/>
      <c r="F194" s="1215"/>
      <c r="G194" s="1215"/>
      <c r="H194" s="1215"/>
      <c r="I194" s="1215"/>
      <c r="J194" s="1235"/>
      <c r="K194" s="2650"/>
      <c r="L194" s="1230"/>
      <c r="M194" s="1228"/>
      <c r="N194" s="1216"/>
      <c r="O194" s="1216"/>
      <c r="P194" s="1216"/>
      <c r="Q194" s="1216"/>
    </row>
    <row r="195" spans="1:17" ht="62" x14ac:dyDescent="0.35">
      <c r="A195" s="1279">
        <v>1</v>
      </c>
      <c r="B195" s="1297" t="s">
        <v>1407</v>
      </c>
      <c r="C195" s="1298">
        <v>1</v>
      </c>
      <c r="D195" s="1298">
        <v>6</v>
      </c>
      <c r="E195" s="1299">
        <v>0</v>
      </c>
      <c r="F195" s="1299">
        <v>4</v>
      </c>
      <c r="G195" s="1299">
        <v>0</v>
      </c>
      <c r="H195" s="1299">
        <v>1</v>
      </c>
      <c r="I195" s="1299">
        <v>1</v>
      </c>
      <c r="J195" s="1693">
        <v>0</v>
      </c>
      <c r="K195" s="2651">
        <f>'[2]12. Min. of Infor'!$I$21</f>
        <v>0.56666666666666665</v>
      </c>
      <c r="L195" s="1942"/>
      <c r="M195" s="1300">
        <f>D195-E195-F195-G195-H195-I195-J195</f>
        <v>0</v>
      </c>
      <c r="N195" s="1301"/>
      <c r="O195" s="1216"/>
      <c r="P195" s="1301"/>
      <c r="Q195" s="1301"/>
    </row>
    <row r="196" spans="1:17" ht="31" x14ac:dyDescent="0.35">
      <c r="A196" s="1279">
        <v>2</v>
      </c>
      <c r="B196" s="1302" t="s">
        <v>1408</v>
      </c>
      <c r="C196" s="1303">
        <v>1</v>
      </c>
      <c r="D196" s="1303">
        <v>8</v>
      </c>
      <c r="E196" s="1304">
        <v>0</v>
      </c>
      <c r="F196" s="1304">
        <v>6</v>
      </c>
      <c r="G196" s="1304">
        <v>0</v>
      </c>
      <c r="H196" s="1304">
        <v>0</v>
      </c>
      <c r="I196" s="1304">
        <v>2</v>
      </c>
      <c r="J196" s="1694">
        <v>0</v>
      </c>
      <c r="K196" s="2652">
        <f>'[2]12. Min. of Infor'!I32</f>
        <v>0.61342592592592593</v>
      </c>
      <c r="L196" s="1230"/>
      <c r="M196" s="1300">
        <f t="shared" ref="M196:M200" si="20">D196-E196-F196-G196-H196-I196-J196</f>
        <v>0</v>
      </c>
      <c r="N196" s="1301"/>
      <c r="O196" s="1216"/>
      <c r="P196" s="1301"/>
      <c r="Q196" s="1301"/>
    </row>
    <row r="197" spans="1:17" ht="62" x14ac:dyDescent="0.35">
      <c r="A197" s="1279">
        <v>3</v>
      </c>
      <c r="B197" s="1302" t="s">
        <v>1475</v>
      </c>
      <c r="C197" s="1305">
        <v>2</v>
      </c>
      <c r="D197" s="1305">
        <v>8</v>
      </c>
      <c r="E197" s="1299">
        <v>0</v>
      </c>
      <c r="F197" s="1299">
        <v>6</v>
      </c>
      <c r="G197" s="1299">
        <v>0</v>
      </c>
      <c r="H197" s="1299">
        <v>0</v>
      </c>
      <c r="I197" s="1299">
        <v>2</v>
      </c>
      <c r="J197" s="1693">
        <v>0</v>
      </c>
      <c r="K197" s="2652">
        <f>'[2]12. Min. of Infor'!I32</f>
        <v>0.61342592592592593</v>
      </c>
      <c r="L197" s="1230"/>
      <c r="M197" s="1300">
        <f t="shared" si="20"/>
        <v>0</v>
      </c>
      <c r="N197" s="1301"/>
      <c r="O197" s="1216"/>
      <c r="P197" s="1301"/>
      <c r="Q197" s="1301"/>
    </row>
    <row r="198" spans="1:17" ht="15.5" x14ac:dyDescent="0.35">
      <c r="A198" s="1279">
        <v>4</v>
      </c>
      <c r="B198" s="1297" t="s">
        <v>1409</v>
      </c>
      <c r="C198" s="1306">
        <v>1</v>
      </c>
      <c r="D198" s="1306">
        <v>2</v>
      </c>
      <c r="E198" s="1304">
        <v>0</v>
      </c>
      <c r="F198" s="1304">
        <v>2</v>
      </c>
      <c r="G198" s="1304">
        <v>0</v>
      </c>
      <c r="H198" s="1304">
        <v>0</v>
      </c>
      <c r="I198" s="1304">
        <v>0</v>
      </c>
      <c r="J198" s="1694">
        <v>0</v>
      </c>
      <c r="K198" s="2651">
        <f>'[2]12. Min. of Infor'!I37</f>
        <v>0.66666666666666674</v>
      </c>
      <c r="L198" s="1230"/>
      <c r="M198" s="1300">
        <f t="shared" si="20"/>
        <v>0</v>
      </c>
      <c r="N198" s="1301"/>
      <c r="O198" s="1216"/>
      <c r="P198" s="1301"/>
      <c r="Q198" s="1301"/>
    </row>
    <row r="199" spans="1:17" ht="15.5" x14ac:dyDescent="0.35">
      <c r="A199" s="1279">
        <v>5</v>
      </c>
      <c r="B199" s="1297" t="s">
        <v>1410</v>
      </c>
      <c r="C199" s="1306">
        <v>1</v>
      </c>
      <c r="D199" s="1306">
        <v>4</v>
      </c>
      <c r="E199" s="1304">
        <v>1</v>
      </c>
      <c r="F199" s="1304">
        <v>1</v>
      </c>
      <c r="G199" s="1304"/>
      <c r="H199" s="1304">
        <v>1</v>
      </c>
      <c r="I199" s="1304">
        <v>0</v>
      </c>
      <c r="J199" s="1694">
        <v>1</v>
      </c>
      <c r="K199" s="2651">
        <f>'[2]12. Min. of Infor'!I44</f>
        <v>0.79962962962962969</v>
      </c>
      <c r="L199" s="1230"/>
      <c r="M199" s="1300">
        <f t="shared" si="20"/>
        <v>0</v>
      </c>
      <c r="N199" s="1301"/>
      <c r="O199" s="1216"/>
      <c r="P199" s="1301"/>
      <c r="Q199" s="1301"/>
    </row>
    <row r="200" spans="1:17" ht="31.5" thickBot="1" x14ac:dyDescent="0.4">
      <c r="A200" s="1307"/>
      <c r="B200" s="1308"/>
      <c r="C200" s="1309">
        <f t="shared" ref="C200:J200" si="21">SUM(C195:C199)</f>
        <v>6</v>
      </c>
      <c r="D200" s="1309">
        <f t="shared" si="21"/>
        <v>28</v>
      </c>
      <c r="E200" s="1309">
        <f t="shared" si="21"/>
        <v>1</v>
      </c>
      <c r="F200" s="1309">
        <f t="shared" si="21"/>
        <v>19</v>
      </c>
      <c r="G200" s="1309">
        <f t="shared" si="21"/>
        <v>0</v>
      </c>
      <c r="H200" s="1309">
        <f t="shared" si="21"/>
        <v>2</v>
      </c>
      <c r="I200" s="1309">
        <f t="shared" si="21"/>
        <v>5</v>
      </c>
      <c r="J200" s="1695">
        <f t="shared" si="21"/>
        <v>1</v>
      </c>
      <c r="K200" s="2653">
        <f>'[2]12. Min. of Infor'!$H$45</f>
        <v>0.65038751714677645</v>
      </c>
      <c r="L200" s="1308" t="s">
        <v>1534</v>
      </c>
      <c r="M200" s="1300">
        <f t="shared" si="20"/>
        <v>0</v>
      </c>
      <c r="N200" s="1301"/>
      <c r="O200" s="1216"/>
      <c r="P200" s="1301"/>
      <c r="Q200" s="1301"/>
    </row>
    <row r="201" spans="1:17" ht="16" thickTop="1" x14ac:dyDescent="0.35">
      <c r="A201" s="1225"/>
      <c r="B201" s="1216"/>
      <c r="C201" s="1216"/>
      <c r="D201" s="1216"/>
      <c r="E201" s="1215"/>
      <c r="F201" s="1215"/>
      <c r="G201" s="1215"/>
      <c r="H201" s="1215"/>
      <c r="I201" s="1215"/>
      <c r="J201" s="1235"/>
      <c r="K201" s="1225"/>
      <c r="L201" s="1230"/>
      <c r="M201" s="1228"/>
      <c r="N201" s="1216"/>
      <c r="O201" s="1216"/>
      <c r="P201" s="1216"/>
      <c r="Q201" s="1216"/>
    </row>
    <row r="202" spans="1:17" ht="15.5" x14ac:dyDescent="0.35">
      <c r="A202" s="1225"/>
      <c r="B202" s="1216"/>
      <c r="C202" s="1216"/>
      <c r="D202" s="1216"/>
      <c r="E202" s="1215"/>
      <c r="F202" s="1215"/>
      <c r="G202" s="1215"/>
      <c r="H202" s="1215"/>
      <c r="I202" s="1215"/>
      <c r="J202" s="1235"/>
      <c r="K202" s="1225"/>
      <c r="L202" s="1230"/>
      <c r="M202" s="1228"/>
      <c r="N202" s="1216"/>
      <c r="O202" s="1216"/>
      <c r="P202" s="1216"/>
      <c r="Q202" s="1216"/>
    </row>
    <row r="203" spans="1:17" ht="15.5" x14ac:dyDescent="0.35">
      <c r="A203" s="1225"/>
      <c r="B203" s="1216"/>
      <c r="C203" s="1216"/>
      <c r="D203" s="1216"/>
      <c r="E203" s="1215"/>
      <c r="F203" s="1215"/>
      <c r="G203" s="1215"/>
      <c r="H203" s="1215"/>
      <c r="I203" s="1215"/>
      <c r="J203" s="1235"/>
      <c r="K203" s="1225"/>
      <c r="L203" s="1230"/>
      <c r="M203" s="1228"/>
      <c r="N203" s="1216"/>
      <c r="O203" s="1216"/>
      <c r="P203" s="1216"/>
      <c r="Q203" s="1216"/>
    </row>
    <row r="204" spans="1:17" ht="15.5" x14ac:dyDescent="0.35">
      <c r="A204" s="1225"/>
      <c r="B204" s="1216"/>
      <c r="C204" s="1216"/>
      <c r="D204" s="1216"/>
      <c r="E204" s="1215"/>
      <c r="F204" s="1215"/>
      <c r="G204" s="1215"/>
      <c r="H204" s="1215"/>
      <c r="I204" s="1215"/>
      <c r="J204" s="1235"/>
      <c r="K204" s="1225"/>
      <c r="L204" s="1230"/>
      <c r="M204" s="1228"/>
      <c r="N204" s="1216"/>
      <c r="O204" s="1216"/>
      <c r="P204" s="1216"/>
      <c r="Q204" s="1216"/>
    </row>
    <row r="205" spans="1:17" ht="15.5" x14ac:dyDescent="0.35">
      <c r="A205" s="1225"/>
      <c r="B205" s="1216"/>
      <c r="C205" s="1216"/>
      <c r="D205" s="1216"/>
      <c r="E205" s="1215"/>
      <c r="F205" s="1215"/>
      <c r="G205" s="1215"/>
      <c r="H205" s="1215"/>
      <c r="I205" s="1215"/>
      <c r="J205" s="1235"/>
      <c r="K205" s="1225"/>
      <c r="L205" s="1230"/>
      <c r="M205" s="1228"/>
      <c r="N205" s="1216"/>
      <c r="O205" s="1216"/>
      <c r="P205" s="1216"/>
      <c r="Q205" s="1216"/>
    </row>
    <row r="206" spans="1:17" ht="15.5" x14ac:dyDescent="0.35">
      <c r="A206" s="1225"/>
      <c r="B206" s="1216"/>
      <c r="C206" s="1216"/>
      <c r="D206" s="1216"/>
      <c r="E206" s="1215"/>
      <c r="F206" s="1215"/>
      <c r="G206" s="1215"/>
      <c r="H206" s="1215"/>
      <c r="I206" s="1215"/>
      <c r="J206" s="1235"/>
      <c r="K206" s="1225"/>
      <c r="L206" s="1230"/>
      <c r="M206" s="1228"/>
      <c r="N206" s="1216"/>
      <c r="O206" s="1216"/>
      <c r="P206" s="1216"/>
      <c r="Q206" s="1216"/>
    </row>
    <row r="207" spans="1:17" ht="15.5" x14ac:dyDescent="0.35">
      <c r="A207" s="1225"/>
      <c r="B207" s="1216"/>
      <c r="C207" s="1216"/>
      <c r="D207" s="1216"/>
      <c r="E207" s="1215"/>
      <c r="F207" s="1215"/>
      <c r="G207" s="1215"/>
      <c r="H207" s="1215"/>
      <c r="I207" s="1215"/>
      <c r="J207" s="1235"/>
      <c r="K207" s="1225"/>
      <c r="L207" s="1230"/>
      <c r="M207" s="1228"/>
      <c r="N207" s="1216"/>
      <c r="O207" s="1216"/>
      <c r="P207" s="1216"/>
      <c r="Q207" s="1216"/>
    </row>
    <row r="208" spans="1:17" ht="15.5" x14ac:dyDescent="0.35">
      <c r="A208" s="1225"/>
      <c r="B208" s="1216"/>
      <c r="C208" s="1216"/>
      <c r="D208" s="1216"/>
      <c r="E208" s="1215"/>
      <c r="F208" s="1215"/>
      <c r="G208" s="1215"/>
      <c r="H208" s="1215"/>
      <c r="I208" s="1215"/>
      <c r="J208" s="1235"/>
      <c r="K208" s="1225"/>
      <c r="L208" s="1230"/>
      <c r="M208" s="1228"/>
      <c r="N208" s="1216"/>
      <c r="O208" s="1216"/>
      <c r="P208" s="1216"/>
      <c r="Q208" s="1216"/>
    </row>
    <row r="209" spans="1:17" ht="15.5" x14ac:dyDescent="0.35">
      <c r="A209" s="1225"/>
      <c r="B209" s="1216"/>
      <c r="C209" s="1216"/>
      <c r="D209" s="1216"/>
      <c r="E209" s="1215"/>
      <c r="F209" s="1215"/>
      <c r="G209" s="1215"/>
      <c r="H209" s="1215"/>
      <c r="I209" s="1215"/>
      <c r="J209" s="1235"/>
      <c r="K209" s="1225"/>
      <c r="L209" s="1230"/>
      <c r="M209" s="1228"/>
      <c r="N209" s="1216"/>
      <c r="O209" s="1216"/>
      <c r="P209" s="1216"/>
      <c r="Q209" s="1216"/>
    </row>
    <row r="210" spans="1:17" ht="15.5" x14ac:dyDescent="0.35">
      <c r="A210" s="1225"/>
      <c r="B210" s="1216"/>
      <c r="C210" s="1216"/>
      <c r="D210" s="1216"/>
      <c r="E210" s="1215"/>
      <c r="F210" s="1215"/>
      <c r="G210" s="1215"/>
      <c r="H210" s="1215"/>
      <c r="I210" s="1215"/>
      <c r="J210" s="1235"/>
      <c r="K210" s="1225"/>
      <c r="L210" s="1230"/>
      <c r="M210" s="1228"/>
      <c r="N210" s="1216"/>
      <c r="O210" s="1216"/>
      <c r="P210" s="1216"/>
      <c r="Q210" s="1216"/>
    </row>
    <row r="211" spans="1:17" ht="15.5" x14ac:dyDescent="0.35">
      <c r="A211" s="1225"/>
      <c r="B211" s="1216"/>
      <c r="C211" s="1216"/>
      <c r="D211" s="1216"/>
      <c r="E211" s="1215"/>
      <c r="F211" s="1215"/>
      <c r="G211" s="1215"/>
      <c r="H211" s="1215"/>
      <c r="I211" s="1215"/>
      <c r="J211" s="1235"/>
      <c r="K211" s="1225"/>
      <c r="L211" s="1230"/>
      <c r="M211" s="1228"/>
      <c r="N211" s="1216"/>
      <c r="O211" s="1216"/>
      <c r="P211" s="1216"/>
      <c r="Q211" s="1216"/>
    </row>
    <row r="212" spans="1:17" ht="15.5" x14ac:dyDescent="0.35">
      <c r="A212" s="1225"/>
      <c r="B212" s="1216"/>
      <c r="C212" s="1216"/>
      <c r="D212" s="1216"/>
      <c r="E212" s="1215"/>
      <c r="F212" s="1215"/>
      <c r="G212" s="1215"/>
      <c r="H212" s="1215"/>
      <c r="I212" s="1215"/>
      <c r="J212" s="1235"/>
      <c r="K212" s="1225"/>
      <c r="L212" s="1230"/>
      <c r="M212" s="1228"/>
      <c r="N212" s="1216"/>
      <c r="O212" s="1216"/>
      <c r="P212" s="1216"/>
      <c r="Q212" s="1216"/>
    </row>
    <row r="213" spans="1:17" ht="15.5" x14ac:dyDescent="0.35">
      <c r="A213" s="1225"/>
      <c r="B213" s="1216"/>
      <c r="C213" s="1216"/>
      <c r="D213" s="1216"/>
      <c r="E213" s="1215"/>
      <c r="F213" s="1215"/>
      <c r="G213" s="1215"/>
      <c r="H213" s="1215"/>
      <c r="I213" s="1215"/>
      <c r="J213" s="1235"/>
      <c r="K213" s="1225"/>
      <c r="L213" s="1230"/>
      <c r="M213" s="1228"/>
      <c r="N213" s="1216"/>
      <c r="O213" s="1216"/>
      <c r="P213" s="1216"/>
      <c r="Q213" s="1216"/>
    </row>
  </sheetData>
  <mergeCells count="39">
    <mergeCell ref="A121:L121"/>
    <mergeCell ref="A122:A124"/>
    <mergeCell ref="B122:B124"/>
    <mergeCell ref="C122:C124"/>
    <mergeCell ref="D122:D124"/>
    <mergeCell ref="E122:H122"/>
    <mergeCell ref="K122:L123"/>
    <mergeCell ref="A168:L168"/>
    <mergeCell ref="A169:A171"/>
    <mergeCell ref="B169:B171"/>
    <mergeCell ref="C169:C171"/>
    <mergeCell ref="D169:D171"/>
    <mergeCell ref="E169:H169"/>
    <mergeCell ref="K169:L170"/>
    <mergeCell ref="B92:C92"/>
    <mergeCell ref="K3:L4"/>
    <mergeCell ref="M3:M5"/>
    <mergeCell ref="M6:M9"/>
    <mergeCell ref="A2:L2"/>
    <mergeCell ref="A47:B47"/>
    <mergeCell ref="A3:A5"/>
    <mergeCell ref="B3:B5"/>
    <mergeCell ref="C3:C5"/>
    <mergeCell ref="D3:D5"/>
    <mergeCell ref="E3:H3"/>
    <mergeCell ref="A106:L106"/>
    <mergeCell ref="A107:A109"/>
    <mergeCell ref="B107:B109"/>
    <mergeCell ref="C107:C109"/>
    <mergeCell ref="D107:D109"/>
    <mergeCell ref="E107:H107"/>
    <mergeCell ref="K107:L108"/>
    <mergeCell ref="A82:L82"/>
    <mergeCell ref="A83:A85"/>
    <mergeCell ref="B83:B85"/>
    <mergeCell ref="C83:C85"/>
    <mergeCell ref="D83:D85"/>
    <mergeCell ref="E83:H83"/>
    <mergeCell ref="K83:L84"/>
  </mergeCells>
  <printOptions horizontalCentered="1"/>
  <pageMargins left="0.51181102362204722" right="0.51181102362204722" top="0.55118110236220474" bottom="0.55118110236220474" header="0.31496062992125984" footer="0.31496062992125984"/>
  <pageSetup scale="6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8A53-F064-430E-9A2D-C5C6DD6972EF}">
  <sheetPr>
    <tabColor rgb="FFFFFF00"/>
  </sheetPr>
  <dimension ref="A1:J93"/>
  <sheetViews>
    <sheetView topLeftCell="A34" zoomScale="102" zoomScaleNormal="100" workbookViewId="0">
      <selection activeCell="H35" sqref="H35"/>
    </sheetView>
  </sheetViews>
  <sheetFormatPr defaultRowHeight="14.5" x14ac:dyDescent="0.35"/>
  <cols>
    <col min="1" max="1" width="6" customWidth="1"/>
    <col min="2" max="2" width="24.54296875" customWidth="1"/>
    <col min="3" max="3" width="30.1796875" customWidth="1"/>
    <col min="4" max="4" width="8.453125" customWidth="1"/>
    <col min="5" max="5" width="8.54296875" customWidth="1"/>
    <col min="6" max="6" width="9.81640625" customWidth="1"/>
    <col min="7" max="8" width="10.81640625" customWidth="1"/>
    <col min="9" max="9" width="25.26953125" customWidth="1"/>
    <col min="10" max="10" width="18" customWidth="1"/>
  </cols>
  <sheetData>
    <row r="1" spans="1:10" ht="18.5" x14ac:dyDescent="0.45">
      <c r="A1" s="2027" t="s">
        <v>1417</v>
      </c>
      <c r="B1" s="2027"/>
      <c r="C1" s="2027"/>
      <c r="D1" s="2027"/>
      <c r="E1" s="2027"/>
      <c r="F1" s="2027"/>
      <c r="G1" s="2027"/>
      <c r="H1" s="2027"/>
      <c r="I1" s="2027"/>
    </row>
    <row r="2" spans="1:10" ht="19" thickBot="1" x14ac:dyDescent="0.5">
      <c r="A2" s="2039" t="s">
        <v>1029</v>
      </c>
      <c r="B2" s="2039"/>
      <c r="C2" s="2039"/>
      <c r="D2" s="2039"/>
      <c r="E2" s="2039"/>
      <c r="F2" s="2039"/>
      <c r="G2" s="2039"/>
      <c r="H2" s="2039"/>
      <c r="I2" s="2039"/>
      <c r="J2" s="884"/>
    </row>
    <row r="3" spans="1:10" ht="45.5" thickBot="1" x14ac:dyDescent="0.4">
      <c r="A3" s="715" t="s">
        <v>2</v>
      </c>
      <c r="B3" s="716" t="s">
        <v>159</v>
      </c>
      <c r="C3" s="717" t="s">
        <v>4</v>
      </c>
      <c r="D3" s="718" t="s">
        <v>789</v>
      </c>
      <c r="E3" s="719" t="s">
        <v>6</v>
      </c>
      <c r="F3" s="718" t="s">
        <v>162</v>
      </c>
      <c r="G3" s="717" t="s">
        <v>25</v>
      </c>
      <c r="H3" s="717" t="s">
        <v>1418</v>
      </c>
      <c r="I3" s="716" t="s">
        <v>127</v>
      </c>
    </row>
    <row r="4" spans="1:10" ht="16" thickBot="1" x14ac:dyDescent="0.4">
      <c r="A4" s="2028" t="s">
        <v>865</v>
      </c>
      <c r="B4" s="2029"/>
      <c r="C4" s="2029"/>
      <c r="D4" s="2029"/>
      <c r="E4" s="2029"/>
      <c r="F4" s="2029"/>
      <c r="G4" s="2029"/>
      <c r="H4" s="2029"/>
      <c r="I4" s="2030"/>
    </row>
    <row r="5" spans="1:10" ht="15" thickBot="1" x14ac:dyDescent="0.4">
      <c r="A5" s="2031" t="s">
        <v>866</v>
      </c>
      <c r="B5" s="2032"/>
      <c r="C5" s="2032"/>
      <c r="D5" s="2032"/>
      <c r="E5" s="2032"/>
      <c r="F5" s="2032"/>
      <c r="G5" s="2032"/>
      <c r="H5" s="2032"/>
      <c r="I5" s="2033"/>
    </row>
    <row r="6" spans="1:10" ht="101.5" customHeight="1" x14ac:dyDescent="0.35">
      <c r="A6" s="2034"/>
      <c r="B6" s="2036" t="s">
        <v>867</v>
      </c>
      <c r="C6" s="1311" t="s">
        <v>868</v>
      </c>
      <c r="D6" s="1312">
        <v>1</v>
      </c>
      <c r="E6" s="1312">
        <v>70</v>
      </c>
      <c r="F6" s="168" t="s">
        <v>1420</v>
      </c>
      <c r="G6" s="1313" t="s">
        <v>660</v>
      </c>
      <c r="H6" s="1313" t="s">
        <v>660</v>
      </c>
      <c r="I6" s="1314" t="s">
        <v>1419</v>
      </c>
      <c r="J6" s="179" t="s">
        <v>869</v>
      </c>
    </row>
    <row r="7" spans="1:10" ht="43.5" x14ac:dyDescent="0.35">
      <c r="A7" s="2034"/>
      <c r="B7" s="2037"/>
      <c r="C7" s="726" t="s">
        <v>870</v>
      </c>
      <c r="D7" s="727">
        <v>2</v>
      </c>
      <c r="E7" s="727">
        <v>10</v>
      </c>
      <c r="F7" s="66">
        <v>0</v>
      </c>
      <c r="G7" s="724">
        <f>F7/E7</f>
        <v>0</v>
      </c>
      <c r="H7" s="724">
        <f>G7</f>
        <v>0</v>
      </c>
      <c r="I7" s="61"/>
      <c r="J7" s="172" t="s">
        <v>871</v>
      </c>
    </row>
    <row r="8" spans="1:10" ht="101.5" x14ac:dyDescent="0.35">
      <c r="A8" s="2034"/>
      <c r="B8" s="2037"/>
      <c r="C8" s="726" t="s">
        <v>872</v>
      </c>
      <c r="D8" s="727">
        <v>3</v>
      </c>
      <c r="E8" s="727">
        <v>10</v>
      </c>
      <c r="F8" s="66">
        <v>10</v>
      </c>
      <c r="G8" s="724">
        <f>F8/E8</f>
        <v>1</v>
      </c>
      <c r="H8" s="724">
        <f t="shared" ref="H8:H11" si="0">G8</f>
        <v>1</v>
      </c>
      <c r="I8" s="61" t="s">
        <v>1598</v>
      </c>
    </row>
    <row r="9" spans="1:10" ht="72.5" x14ac:dyDescent="0.35">
      <c r="A9" s="2034"/>
      <c r="B9" s="2037"/>
      <c r="C9" s="726" t="s">
        <v>873</v>
      </c>
      <c r="D9" s="727">
        <v>4</v>
      </c>
      <c r="E9" s="727">
        <v>5</v>
      </c>
      <c r="F9" s="66">
        <v>5</v>
      </c>
      <c r="G9" s="724">
        <f>F9/E9</f>
        <v>1</v>
      </c>
      <c r="H9" s="724">
        <f t="shared" si="0"/>
        <v>1</v>
      </c>
      <c r="I9" s="728" t="s">
        <v>874</v>
      </c>
      <c r="J9" s="172" t="s">
        <v>1056</v>
      </c>
    </row>
    <row r="10" spans="1:10" ht="58" x14ac:dyDescent="0.35">
      <c r="A10" s="2034"/>
      <c r="B10" s="2037"/>
      <c r="C10" s="675" t="s">
        <v>875</v>
      </c>
      <c r="D10" s="727">
        <v>5</v>
      </c>
      <c r="E10" s="727">
        <v>10</v>
      </c>
      <c r="F10" s="66">
        <v>0</v>
      </c>
      <c r="G10" s="724">
        <f>F10/E10</f>
        <v>0</v>
      </c>
      <c r="H10" s="724">
        <f t="shared" si="0"/>
        <v>0</v>
      </c>
      <c r="I10" s="61" t="s">
        <v>1430</v>
      </c>
    </row>
    <row r="11" spans="1:10" ht="58.5" thickBot="1" x14ac:dyDescent="0.4">
      <c r="A11" s="2035"/>
      <c r="B11" s="2038"/>
      <c r="C11" s="729" t="s">
        <v>877</v>
      </c>
      <c r="D11" s="730">
        <v>6</v>
      </c>
      <c r="E11" s="730">
        <v>10</v>
      </c>
      <c r="F11" s="18">
        <v>0</v>
      </c>
      <c r="G11" s="731">
        <f>F11/E11</f>
        <v>0</v>
      </c>
      <c r="H11" s="724">
        <f t="shared" si="0"/>
        <v>0</v>
      </c>
      <c r="I11" s="61" t="s">
        <v>876</v>
      </c>
    </row>
    <row r="12" spans="1:10" ht="15" thickBot="1" x14ac:dyDescent="0.4">
      <c r="A12" s="732"/>
      <c r="B12" s="733"/>
      <c r="C12" s="734" t="s">
        <v>366</v>
      </c>
      <c r="D12" s="735"/>
      <c r="E12" s="735"/>
      <c r="F12" s="239"/>
      <c r="G12" s="736"/>
      <c r="H12" s="736"/>
      <c r="I12" s="2681">
        <f>AVERAGE(H6:H11)</f>
        <v>0.4</v>
      </c>
    </row>
    <row r="13" spans="1:10" ht="15" thickBot="1" x14ac:dyDescent="0.4">
      <c r="A13" s="2044" t="s">
        <v>878</v>
      </c>
      <c r="B13" s="2045"/>
      <c r="C13" s="2045"/>
      <c r="D13" s="2045"/>
      <c r="E13" s="2045"/>
      <c r="F13" s="2045"/>
      <c r="G13" s="2045"/>
      <c r="H13" s="2045"/>
      <c r="I13" s="2046"/>
    </row>
    <row r="14" spans="1:10" ht="96" customHeight="1" x14ac:dyDescent="0.35">
      <c r="A14" s="2047">
        <v>2</v>
      </c>
      <c r="B14" s="2048" t="s">
        <v>879</v>
      </c>
      <c r="C14" s="167" t="s">
        <v>880</v>
      </c>
      <c r="D14" s="168">
        <v>1</v>
      </c>
      <c r="E14" s="168">
        <v>5</v>
      </c>
      <c r="F14" s="725">
        <v>5</v>
      </c>
      <c r="G14" s="737">
        <f>F14/E14</f>
        <v>1</v>
      </c>
      <c r="H14" s="737">
        <f>G14</f>
        <v>1</v>
      </c>
      <c r="I14" s="904" t="s">
        <v>1421</v>
      </c>
      <c r="J14" s="172" t="s">
        <v>881</v>
      </c>
    </row>
    <row r="15" spans="1:10" ht="29" x14ac:dyDescent="0.35">
      <c r="A15" s="2047"/>
      <c r="B15" s="2049"/>
      <c r="C15" s="173" t="s">
        <v>882</v>
      </c>
      <c r="D15" s="174">
        <v>2</v>
      </c>
      <c r="E15" s="174">
        <v>10</v>
      </c>
      <c r="F15" s="57">
        <v>10</v>
      </c>
      <c r="G15" s="724">
        <f>F15/E15</f>
        <v>1</v>
      </c>
      <c r="H15" s="737">
        <f t="shared" ref="H15:H17" si="1">G15</f>
        <v>1</v>
      </c>
      <c r="I15" s="1315" t="s">
        <v>1422</v>
      </c>
    </row>
    <row r="16" spans="1:10" ht="29" x14ac:dyDescent="0.35">
      <c r="A16" s="2047"/>
      <c r="B16" s="2049"/>
      <c r="C16" s="173" t="s">
        <v>883</v>
      </c>
      <c r="D16" s="174">
        <v>3</v>
      </c>
      <c r="E16" s="905">
        <v>0.05</v>
      </c>
      <c r="F16" s="906">
        <f>28/3210</f>
        <v>8.7227414330218068E-3</v>
      </c>
      <c r="G16" s="724">
        <f>F16/E16</f>
        <v>0.17445482866043613</v>
      </c>
      <c r="H16" s="737">
        <f t="shared" si="1"/>
        <v>0.17445482866043613</v>
      </c>
      <c r="I16" s="173" t="s">
        <v>1057</v>
      </c>
    </row>
    <row r="17" spans="1:10" ht="73" thickBot="1" x14ac:dyDescent="0.4">
      <c r="A17" s="2047"/>
      <c r="B17" s="2050"/>
      <c r="C17" s="190" t="s">
        <v>884</v>
      </c>
      <c r="D17" s="189">
        <v>4</v>
      </c>
      <c r="E17" s="189">
        <v>91</v>
      </c>
      <c r="F17" s="189">
        <v>80</v>
      </c>
      <c r="G17" s="738">
        <f>F17/E17</f>
        <v>0.87912087912087911</v>
      </c>
      <c r="H17" s="737">
        <f t="shared" si="1"/>
        <v>0.87912087912087911</v>
      </c>
      <c r="I17" s="190" t="s">
        <v>885</v>
      </c>
      <c r="J17" s="172" t="s">
        <v>886</v>
      </c>
    </row>
    <row r="18" spans="1:10" ht="15" thickBot="1" x14ac:dyDescent="0.4">
      <c r="A18" s="739"/>
      <c r="B18" s="740"/>
      <c r="C18" s="734" t="s">
        <v>366</v>
      </c>
      <c r="D18" s="741"/>
      <c r="E18" s="742"/>
      <c r="F18" s="741"/>
      <c r="G18" s="743"/>
      <c r="H18" s="743"/>
      <c r="I18" s="2682">
        <f>AVERAGE(H14:H17)</f>
        <v>0.76339392694532882</v>
      </c>
    </row>
    <row r="19" spans="1:10" ht="15" thickBot="1" x14ac:dyDescent="0.4">
      <c r="A19" s="2044" t="s">
        <v>887</v>
      </c>
      <c r="B19" s="2045"/>
      <c r="C19" s="2045"/>
      <c r="D19" s="2045"/>
      <c r="E19" s="2045"/>
      <c r="F19" s="2045"/>
      <c r="G19" s="2045"/>
      <c r="H19" s="2045"/>
      <c r="I19" s="2046"/>
    </row>
    <row r="20" spans="1:10" ht="58" x14ac:dyDescent="0.35">
      <c r="A20" s="2040">
        <v>3</v>
      </c>
      <c r="B20" s="2051" t="s">
        <v>888</v>
      </c>
      <c r="C20" s="167" t="s">
        <v>889</v>
      </c>
      <c r="D20" s="168">
        <v>1</v>
      </c>
      <c r="E20" s="168">
        <v>100</v>
      </c>
      <c r="F20" s="725">
        <v>98.98</v>
      </c>
      <c r="G20" s="737">
        <f>F20/E20</f>
        <v>0.98980000000000001</v>
      </c>
      <c r="H20" s="737">
        <f>G20</f>
        <v>0.98980000000000001</v>
      </c>
      <c r="I20" s="167" t="s">
        <v>1058</v>
      </c>
    </row>
    <row r="21" spans="1:10" ht="43.5" x14ac:dyDescent="0.35">
      <c r="A21" s="2035"/>
      <c r="B21" s="2052"/>
      <c r="C21" s="190" t="s">
        <v>890</v>
      </c>
      <c r="D21" s="189">
        <v>2</v>
      </c>
      <c r="E21" s="189">
        <v>100</v>
      </c>
      <c r="F21" s="189">
        <v>100</v>
      </c>
      <c r="G21" s="738">
        <f>F21/E21</f>
        <v>1</v>
      </c>
      <c r="H21" s="737">
        <f t="shared" ref="H21" si="2">G21</f>
        <v>1</v>
      </c>
      <c r="I21" s="190" t="s">
        <v>891</v>
      </c>
      <c r="J21" s="799"/>
    </row>
    <row r="22" spans="1:10" ht="29" x14ac:dyDescent="0.35">
      <c r="A22" s="882"/>
      <c r="B22" s="799"/>
      <c r="C22" s="317" t="s">
        <v>1423</v>
      </c>
      <c r="D22" s="907">
        <v>3</v>
      </c>
      <c r="E22" s="907"/>
      <c r="F22" s="907"/>
      <c r="G22" s="908" t="s">
        <v>1420</v>
      </c>
      <c r="H22" s="737" t="s">
        <v>660</v>
      </c>
      <c r="I22" s="909" t="s">
        <v>1027</v>
      </c>
      <c r="J22" s="186"/>
    </row>
    <row r="23" spans="1:10" ht="29.5" thickBot="1" x14ac:dyDescent="0.4">
      <c r="A23" s="882"/>
      <c r="B23" s="799"/>
      <c r="C23" s="317" t="s">
        <v>1424</v>
      </c>
      <c r="D23" s="907">
        <v>4</v>
      </c>
      <c r="E23" s="907"/>
      <c r="F23" s="907"/>
      <c r="G23" s="908" t="s">
        <v>1420</v>
      </c>
      <c r="H23" s="737" t="s">
        <v>660</v>
      </c>
      <c r="I23" s="909" t="s">
        <v>1027</v>
      </c>
      <c r="J23" s="186"/>
    </row>
    <row r="24" spans="1:10" ht="15" thickBot="1" x14ac:dyDescent="0.4">
      <c r="A24" s="744"/>
      <c r="B24" s="745"/>
      <c r="C24" s="734" t="s">
        <v>366</v>
      </c>
      <c r="D24" s="745"/>
      <c r="E24" s="745"/>
      <c r="F24" s="745"/>
      <c r="G24" s="746"/>
      <c r="H24" s="746"/>
      <c r="I24" s="2683">
        <f>AVERAGE(H20:H23)</f>
        <v>0.99490000000000001</v>
      </c>
    </row>
    <row r="25" spans="1:10" ht="15" thickBot="1" x14ac:dyDescent="0.4">
      <c r="A25" s="2044" t="s">
        <v>892</v>
      </c>
      <c r="B25" s="2045"/>
      <c r="C25" s="2045"/>
      <c r="D25" s="2045"/>
      <c r="E25" s="2045"/>
      <c r="F25" s="2045"/>
      <c r="G25" s="2045"/>
      <c r="H25" s="2045"/>
      <c r="I25" s="2046"/>
    </row>
    <row r="26" spans="1:10" ht="58.5" thickBot="1" x14ac:dyDescent="0.4">
      <c r="A26" s="2040">
        <v>4</v>
      </c>
      <c r="B26" s="2042" t="s">
        <v>893</v>
      </c>
      <c r="C26" s="747" t="s">
        <v>894</v>
      </c>
      <c r="D26" s="748">
        <v>1</v>
      </c>
      <c r="E26" s="748">
        <v>18</v>
      </c>
      <c r="F26" s="18">
        <v>3</v>
      </c>
      <c r="G26" s="749">
        <f t="shared" ref="G26:G35" si="3">F26/E26</f>
        <v>0.16666666666666666</v>
      </c>
      <c r="H26" s="749">
        <f>G26</f>
        <v>0.16666666666666666</v>
      </c>
      <c r="I26" s="61"/>
      <c r="J26" s="172" t="s">
        <v>895</v>
      </c>
    </row>
    <row r="27" spans="1:10" ht="44" thickBot="1" x14ac:dyDescent="0.4">
      <c r="A27" s="2034"/>
      <c r="B27" s="2043"/>
      <c r="C27" s="747" t="s">
        <v>896</v>
      </c>
      <c r="D27" s="748">
        <v>2</v>
      </c>
      <c r="E27" s="748">
        <v>540</v>
      </c>
      <c r="F27" s="13">
        <v>81</v>
      </c>
      <c r="G27" s="724">
        <f t="shared" si="3"/>
        <v>0.15</v>
      </c>
      <c r="H27" s="749">
        <f t="shared" ref="H27:H35" si="4">G27</f>
        <v>0.15</v>
      </c>
      <c r="I27" s="61"/>
      <c r="J27" s="187" t="s">
        <v>346</v>
      </c>
    </row>
    <row r="28" spans="1:10" ht="87.5" thickBot="1" x14ac:dyDescent="0.4">
      <c r="A28" s="2034"/>
      <c r="B28" s="2043"/>
      <c r="C28" s="747" t="s">
        <v>1059</v>
      </c>
      <c r="D28" s="748">
        <v>3</v>
      </c>
      <c r="E28" s="748">
        <v>300</v>
      </c>
      <c r="F28" s="66">
        <v>550</v>
      </c>
      <c r="G28" s="750">
        <f t="shared" si="3"/>
        <v>1.8333333333333333</v>
      </c>
      <c r="H28" s="749">
        <v>1.01</v>
      </c>
      <c r="I28" s="12" t="s">
        <v>1060</v>
      </c>
      <c r="J28" s="187" t="s">
        <v>346</v>
      </c>
    </row>
    <row r="29" spans="1:10" ht="73" thickBot="1" x14ac:dyDescent="0.4">
      <c r="A29" s="2034"/>
      <c r="B29" s="2043"/>
      <c r="C29" s="747" t="s">
        <v>1061</v>
      </c>
      <c r="D29" s="751">
        <v>4</v>
      </c>
      <c r="E29" s="752">
        <v>1000</v>
      </c>
      <c r="F29" s="13">
        <v>918</v>
      </c>
      <c r="G29" s="753">
        <f t="shared" si="3"/>
        <v>0.91800000000000004</v>
      </c>
      <c r="H29" s="749">
        <f t="shared" si="4"/>
        <v>0.91800000000000004</v>
      </c>
      <c r="I29" s="12" t="s">
        <v>897</v>
      </c>
      <c r="J29" t="s">
        <v>1062</v>
      </c>
    </row>
    <row r="30" spans="1:10" ht="73" thickBot="1" x14ac:dyDescent="0.4">
      <c r="A30" s="2034"/>
      <c r="B30" s="2043"/>
      <c r="C30" s="675" t="s">
        <v>898</v>
      </c>
      <c r="D30" s="754">
        <v>5</v>
      </c>
      <c r="E30" s="754">
        <v>150</v>
      </c>
      <c r="F30" s="57">
        <v>32</v>
      </c>
      <c r="G30" s="753">
        <f t="shared" si="3"/>
        <v>0.21333333333333335</v>
      </c>
      <c r="H30" s="749">
        <f t="shared" si="4"/>
        <v>0.21333333333333335</v>
      </c>
      <c r="I30" s="728" t="s">
        <v>899</v>
      </c>
      <c r="J30" s="172" t="s">
        <v>900</v>
      </c>
    </row>
    <row r="31" spans="1:10" ht="73" thickBot="1" x14ac:dyDescent="0.4">
      <c r="A31" s="2034"/>
      <c r="B31" s="2043"/>
      <c r="C31" s="675" t="s">
        <v>901</v>
      </c>
      <c r="D31" s="748">
        <v>6</v>
      </c>
      <c r="E31" s="748">
        <v>27</v>
      </c>
      <c r="F31" s="57">
        <v>5</v>
      </c>
      <c r="G31" s="753">
        <f t="shared" si="3"/>
        <v>0.18518518518518517</v>
      </c>
      <c r="H31" s="749">
        <f t="shared" si="4"/>
        <v>0.18518518518518517</v>
      </c>
      <c r="I31" s="61"/>
      <c r="J31" s="187" t="s">
        <v>902</v>
      </c>
    </row>
    <row r="32" spans="1:10" ht="73" thickBot="1" x14ac:dyDescent="0.4">
      <c r="A32" s="2034"/>
      <c r="B32" s="2043"/>
      <c r="C32" s="747" t="s">
        <v>903</v>
      </c>
      <c r="D32" s="748">
        <v>7</v>
      </c>
      <c r="E32" s="748">
        <v>1080</v>
      </c>
      <c r="F32" s="57">
        <v>320</v>
      </c>
      <c r="G32" s="753">
        <f t="shared" si="3"/>
        <v>0.29629629629629628</v>
      </c>
      <c r="H32" s="749">
        <f t="shared" si="4"/>
        <v>0.29629629629629628</v>
      </c>
      <c r="I32" s="61" t="s">
        <v>904</v>
      </c>
      <c r="J32" s="187" t="s">
        <v>902</v>
      </c>
    </row>
    <row r="33" spans="1:10" ht="73" thickBot="1" x14ac:dyDescent="0.4">
      <c r="A33" s="2041"/>
      <c r="B33" s="2043"/>
      <c r="C33" s="747" t="s">
        <v>1427</v>
      </c>
      <c r="D33" s="748">
        <v>8</v>
      </c>
      <c r="E33" s="748">
        <v>90</v>
      </c>
      <c r="F33" s="748">
        <v>9.32</v>
      </c>
      <c r="G33" s="753">
        <f t="shared" ref="G33:G34" si="5">F33/E33</f>
        <v>0.10355555555555555</v>
      </c>
      <c r="H33" s="749">
        <f t="shared" si="4"/>
        <v>0.10355555555555555</v>
      </c>
      <c r="I33" s="61" t="s">
        <v>1428</v>
      </c>
      <c r="J33" s="187">
        <f>104.5/194</f>
        <v>0.53865979381443296</v>
      </c>
    </row>
    <row r="34" spans="1:10" ht="73" thickBot="1" x14ac:dyDescent="0.4">
      <c r="A34" s="2034"/>
      <c r="B34" s="2043"/>
      <c r="C34" s="747" t="s">
        <v>905</v>
      </c>
      <c r="D34" s="748">
        <v>9</v>
      </c>
      <c r="E34" s="748">
        <v>10</v>
      </c>
      <c r="F34" s="57">
        <v>0</v>
      </c>
      <c r="G34" s="753">
        <f t="shared" si="5"/>
        <v>0</v>
      </c>
      <c r="H34" s="749">
        <f t="shared" si="4"/>
        <v>0</v>
      </c>
      <c r="I34" s="61" t="s">
        <v>1429</v>
      </c>
      <c r="J34" s="755"/>
    </row>
    <row r="35" spans="1:10" ht="87.5" thickBot="1" x14ac:dyDescent="0.4">
      <c r="A35" s="2035"/>
      <c r="B35" s="2043"/>
      <c r="C35" s="756" t="s">
        <v>906</v>
      </c>
      <c r="D35" s="757">
        <v>10</v>
      </c>
      <c r="E35" s="757">
        <v>4</v>
      </c>
      <c r="F35" s="189">
        <v>3</v>
      </c>
      <c r="G35" s="749">
        <f t="shared" si="3"/>
        <v>0.75</v>
      </c>
      <c r="H35" s="749">
        <f t="shared" si="4"/>
        <v>0.75</v>
      </c>
      <c r="I35" s="61" t="s">
        <v>1063</v>
      </c>
    </row>
    <row r="36" spans="1:10" ht="15" thickBot="1" x14ac:dyDescent="0.4">
      <c r="A36" s="758"/>
      <c r="B36" s="759"/>
      <c r="C36" s="734" t="s">
        <v>366</v>
      </c>
      <c r="D36" s="760"/>
      <c r="E36" s="760"/>
      <c r="F36" s="761"/>
      <c r="G36" s="762"/>
      <c r="H36" s="762"/>
      <c r="I36" s="2684">
        <f>AVERAGE(H26:H35)</f>
        <v>0.3793037037037037</v>
      </c>
    </row>
    <row r="37" spans="1:10" ht="15" thickBot="1" x14ac:dyDescent="0.4">
      <c r="A37" s="758"/>
      <c r="B37" s="759"/>
      <c r="C37" s="734" t="s">
        <v>652</v>
      </c>
      <c r="D37" s="760"/>
      <c r="E37" s="760"/>
      <c r="F37" s="761"/>
      <c r="G37" s="762">
        <f>AVERAGE(G27:G36)</f>
        <v>0.49441152263374477</v>
      </c>
      <c r="H37" s="762">
        <f>AVERAGE(H6:H36)</f>
        <v>0.51601965451515952</v>
      </c>
      <c r="I37" s="763"/>
    </row>
    <row r="43" spans="1:10" x14ac:dyDescent="0.35">
      <c r="D43" t="s">
        <v>1425</v>
      </c>
    </row>
    <row r="52" spans="8:8" x14ac:dyDescent="0.35">
      <c r="H52" s="881"/>
    </row>
    <row r="53" spans="8:8" x14ac:dyDescent="0.35">
      <c r="H53" s="881"/>
    </row>
    <row r="54" spans="8:8" x14ac:dyDescent="0.35">
      <c r="H54" s="881"/>
    </row>
    <row r="55" spans="8:8" x14ac:dyDescent="0.35">
      <c r="H55" s="881"/>
    </row>
    <row r="56" spans="8:8" x14ac:dyDescent="0.35">
      <c r="H56" s="881"/>
    </row>
    <row r="57" spans="8:8" x14ac:dyDescent="0.35">
      <c r="H57" s="881"/>
    </row>
    <row r="58" spans="8:8" x14ac:dyDescent="0.35">
      <c r="H58" s="1316"/>
    </row>
    <row r="59" spans="8:8" x14ac:dyDescent="0.35">
      <c r="H59" s="881"/>
    </row>
    <row r="60" spans="8:8" x14ac:dyDescent="0.35">
      <c r="H60" s="881"/>
    </row>
    <row r="61" spans="8:8" x14ac:dyDescent="0.35">
      <c r="H61" s="881"/>
    </row>
    <row r="62" spans="8:8" x14ac:dyDescent="0.35">
      <c r="H62" s="881"/>
    </row>
    <row r="63" spans="8:8" x14ac:dyDescent="0.35">
      <c r="H63" s="881"/>
    </row>
    <row r="64" spans="8:8" x14ac:dyDescent="0.35">
      <c r="H64" s="881"/>
    </row>
    <row r="65" spans="6:8" x14ac:dyDescent="0.35">
      <c r="H65" s="1316"/>
    </row>
    <row r="66" spans="6:8" x14ac:dyDescent="0.35">
      <c r="H66" s="881"/>
    </row>
    <row r="67" spans="6:8" x14ac:dyDescent="0.35">
      <c r="H67" s="881"/>
    </row>
    <row r="68" spans="6:8" x14ac:dyDescent="0.35">
      <c r="H68" s="881"/>
    </row>
    <row r="69" spans="6:8" x14ac:dyDescent="0.35">
      <c r="H69" s="881"/>
    </row>
    <row r="70" spans="6:8" x14ac:dyDescent="0.35">
      <c r="H70" s="881"/>
    </row>
    <row r="71" spans="6:8" x14ac:dyDescent="0.35">
      <c r="H71" s="881"/>
    </row>
    <row r="72" spans="6:8" x14ac:dyDescent="0.35">
      <c r="F72" s="881"/>
      <c r="H72" s="881"/>
    </row>
    <row r="73" spans="6:8" x14ac:dyDescent="0.35">
      <c r="F73" s="881"/>
      <c r="H73" s="881"/>
    </row>
    <row r="74" spans="6:8" x14ac:dyDescent="0.35">
      <c r="F74" s="881"/>
      <c r="H74" s="881"/>
    </row>
    <row r="75" spans="6:8" x14ac:dyDescent="0.35">
      <c r="F75" s="881"/>
      <c r="H75" s="1316"/>
    </row>
    <row r="76" spans="6:8" x14ac:dyDescent="0.35">
      <c r="F76" s="881"/>
      <c r="H76" s="881"/>
    </row>
    <row r="77" spans="6:8" x14ac:dyDescent="0.35">
      <c r="F77" s="881"/>
      <c r="H77" s="881"/>
    </row>
    <row r="78" spans="6:8" x14ac:dyDescent="0.35">
      <c r="F78" s="881"/>
    </row>
    <row r="79" spans="6:8" x14ac:dyDescent="0.35">
      <c r="F79" s="881"/>
    </row>
    <row r="80" spans="6:8" x14ac:dyDescent="0.35">
      <c r="F80" s="881"/>
    </row>
    <row r="81" spans="6:6" x14ac:dyDescent="0.35">
      <c r="F81" s="881"/>
    </row>
    <row r="82" spans="6:6" x14ac:dyDescent="0.35">
      <c r="F82" s="881"/>
    </row>
    <row r="83" spans="6:6" x14ac:dyDescent="0.35">
      <c r="F83" s="881"/>
    </row>
    <row r="84" spans="6:6" x14ac:dyDescent="0.35">
      <c r="F84" s="881"/>
    </row>
    <row r="85" spans="6:6" x14ac:dyDescent="0.35">
      <c r="F85" s="881"/>
    </row>
    <row r="86" spans="6:6" x14ac:dyDescent="0.35">
      <c r="F86" s="881"/>
    </row>
    <row r="87" spans="6:6" x14ac:dyDescent="0.35">
      <c r="F87" s="881"/>
    </row>
    <row r="88" spans="6:6" x14ac:dyDescent="0.35">
      <c r="F88" s="881"/>
    </row>
    <row r="89" spans="6:6" x14ac:dyDescent="0.35">
      <c r="F89" s="881"/>
    </row>
    <row r="90" spans="6:6" x14ac:dyDescent="0.35">
      <c r="F90" s="881"/>
    </row>
    <row r="91" spans="6:6" x14ac:dyDescent="0.35">
      <c r="F91" s="881"/>
    </row>
    <row r="92" spans="6:6" x14ac:dyDescent="0.35">
      <c r="F92" s="881"/>
    </row>
    <row r="93" spans="6:6" x14ac:dyDescent="0.35">
      <c r="F93" s="1317"/>
    </row>
  </sheetData>
  <mergeCells count="15">
    <mergeCell ref="A26:A35"/>
    <mergeCell ref="B26:B35"/>
    <mergeCell ref="A13:I13"/>
    <mergeCell ref="A14:A17"/>
    <mergeCell ref="B14:B17"/>
    <mergeCell ref="A19:I19"/>
    <mergeCell ref="A20:A21"/>
    <mergeCell ref="B20:B21"/>
    <mergeCell ref="A25:I25"/>
    <mergeCell ref="A1:I1"/>
    <mergeCell ref="A4:I4"/>
    <mergeCell ref="A5:I5"/>
    <mergeCell ref="A6:A11"/>
    <mergeCell ref="B6:B11"/>
    <mergeCell ref="A2:I2"/>
  </mergeCells>
  <printOptions horizontalCentered="1"/>
  <pageMargins left="0.51181102362204722" right="0.51181102362204722" top="0.15748031496062992" bottom="0.55118110236220474" header="0.31496062992125984" footer="0.31496062992125984"/>
  <pageSetup scale="9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7C2E-374C-4E2A-9767-DBF15998ADB2}">
  <sheetPr>
    <tabColor rgb="FFC00000"/>
  </sheetPr>
  <dimension ref="A1:I59"/>
  <sheetViews>
    <sheetView zoomScaleNormal="100" workbookViewId="0">
      <pane ySplit="3" topLeftCell="A10" activePane="bottomLeft" state="frozen"/>
      <selection pane="bottomLeft" activeCell="A11" sqref="A11:I11"/>
    </sheetView>
  </sheetViews>
  <sheetFormatPr defaultRowHeight="14.5" x14ac:dyDescent="0.35"/>
  <cols>
    <col min="1" max="1" width="8.81640625" customWidth="1"/>
    <col min="2" max="2" width="36.54296875" customWidth="1"/>
    <col min="3" max="3" width="33.1796875" customWidth="1"/>
    <col min="4" max="4" width="11.81640625" style="1696" customWidth="1"/>
    <col min="5" max="5" width="13.453125" customWidth="1"/>
    <col min="6" max="6" width="12.453125" customWidth="1"/>
    <col min="7" max="8" width="17" customWidth="1"/>
    <col min="9" max="9" width="29.26953125" style="1978" customWidth="1"/>
  </cols>
  <sheetData>
    <row r="1" spans="1:9" ht="18.5" x14ac:dyDescent="0.45">
      <c r="A1" s="2027" t="s">
        <v>1426</v>
      </c>
      <c r="B1" s="2027"/>
      <c r="C1" s="2027"/>
      <c r="D1" s="2027"/>
      <c r="E1" s="2027"/>
      <c r="F1" s="2027"/>
      <c r="G1" s="2027"/>
      <c r="H1" s="2027"/>
      <c r="I1" s="2027"/>
    </row>
    <row r="2" spans="1:9" ht="19" thickBot="1" x14ac:dyDescent="0.5">
      <c r="A2" s="2068" t="s">
        <v>1029</v>
      </c>
      <c r="B2" s="2068"/>
      <c r="C2" s="2068"/>
      <c r="D2" s="2068"/>
      <c r="E2" s="2068"/>
      <c r="F2" s="2068"/>
      <c r="G2" s="2068"/>
      <c r="H2" s="2068"/>
      <c r="I2" s="2068"/>
    </row>
    <row r="3" spans="1:9" ht="30.5" thickBot="1" x14ac:dyDescent="0.4">
      <c r="A3" s="715" t="s">
        <v>2</v>
      </c>
      <c r="B3" s="716" t="s">
        <v>159</v>
      </c>
      <c r="C3" s="717" t="s">
        <v>4</v>
      </c>
      <c r="D3" s="718" t="s">
        <v>789</v>
      </c>
      <c r="E3" s="719" t="s">
        <v>6</v>
      </c>
      <c r="F3" s="718" t="s">
        <v>162</v>
      </c>
      <c r="G3" s="717" t="s">
        <v>25</v>
      </c>
      <c r="H3" s="717" t="s">
        <v>1418</v>
      </c>
      <c r="I3" s="2607" t="s">
        <v>127</v>
      </c>
    </row>
    <row r="4" spans="1:9" ht="15.5" x14ac:dyDescent="0.35">
      <c r="A4" s="2054" t="s">
        <v>1552</v>
      </c>
      <c r="B4" s="2054"/>
      <c r="C4" s="2054"/>
      <c r="D4" s="2054"/>
      <c r="E4" s="2054"/>
      <c r="F4" s="2054"/>
      <c r="G4" s="2054"/>
      <c r="H4" s="2054"/>
      <c r="I4" s="2055"/>
    </row>
    <row r="5" spans="1:9" ht="62" x14ac:dyDescent="0.35">
      <c r="A5" s="2588">
        <v>1</v>
      </c>
      <c r="B5" s="2589" t="s">
        <v>1553</v>
      </c>
      <c r="C5" s="2590" t="s">
        <v>1554</v>
      </c>
      <c r="D5" s="2591">
        <v>1</v>
      </c>
      <c r="E5" s="2592">
        <v>0.6</v>
      </c>
      <c r="F5" s="2592">
        <v>0.5</v>
      </c>
      <c r="G5" s="2592">
        <f>F5/E5</f>
        <v>0.83333333333333337</v>
      </c>
      <c r="H5" s="2592">
        <f>G5</f>
        <v>0.83333333333333337</v>
      </c>
      <c r="I5" s="2608"/>
    </row>
    <row r="6" spans="1:9" ht="77.5" x14ac:dyDescent="0.35">
      <c r="A6" s="2593"/>
      <c r="B6" s="2594"/>
      <c r="C6" s="2590" t="s">
        <v>1556</v>
      </c>
      <c r="D6" s="2591">
        <v>2</v>
      </c>
      <c r="E6" s="2595">
        <v>20</v>
      </c>
      <c r="F6" s="2595"/>
      <c r="G6" s="2595"/>
      <c r="H6" s="2595" t="s">
        <v>1420</v>
      </c>
      <c r="I6" s="2608" t="s">
        <v>1582</v>
      </c>
    </row>
    <row r="7" spans="1:9" ht="93" x14ac:dyDescent="0.35">
      <c r="A7" s="2593"/>
      <c r="B7" s="2594"/>
      <c r="C7" s="2596" t="s">
        <v>1557</v>
      </c>
      <c r="D7" s="2591">
        <v>3</v>
      </c>
      <c r="E7" s="2591">
        <v>10</v>
      </c>
      <c r="F7" s="2591"/>
      <c r="G7" s="2591"/>
      <c r="H7" s="2591" t="s">
        <v>1420</v>
      </c>
      <c r="I7" s="2608" t="s">
        <v>1582</v>
      </c>
    </row>
    <row r="8" spans="1:9" ht="62" x14ac:dyDescent="0.35">
      <c r="A8" s="2593"/>
      <c r="B8" s="2594"/>
      <c r="C8" s="2596" t="s">
        <v>1558</v>
      </c>
      <c r="D8" s="2591">
        <v>4</v>
      </c>
      <c r="E8" s="2591">
        <v>4</v>
      </c>
      <c r="F8" s="2597">
        <v>4</v>
      </c>
      <c r="G8" s="2598">
        <f>F8/E8</f>
        <v>1</v>
      </c>
      <c r="H8" s="2598">
        <f>G8</f>
        <v>1</v>
      </c>
      <c r="I8" s="2608"/>
    </row>
    <row r="9" spans="1:9" ht="93.5" thickBot="1" x14ac:dyDescent="0.4">
      <c r="A9" s="2599"/>
      <c r="B9" s="2600"/>
      <c r="C9" s="2596" t="s">
        <v>1559</v>
      </c>
      <c r="D9" s="2591">
        <v>5</v>
      </c>
      <c r="E9" s="2591">
        <v>4</v>
      </c>
      <c r="F9" s="2597">
        <v>3</v>
      </c>
      <c r="G9" s="2598">
        <f>F9/E9</f>
        <v>0.75</v>
      </c>
      <c r="H9" s="2598">
        <f>G9</f>
        <v>0.75</v>
      </c>
      <c r="I9" s="2608" t="s">
        <v>1588</v>
      </c>
    </row>
    <row r="10" spans="1:9" ht="15.5" thickBot="1" x14ac:dyDescent="0.4">
      <c r="A10" s="715"/>
      <c r="B10" s="717"/>
      <c r="C10" s="717"/>
      <c r="D10" s="719"/>
      <c r="E10" s="719"/>
      <c r="F10" s="719"/>
      <c r="G10" s="717"/>
      <c r="H10" s="2613" t="s">
        <v>1584</v>
      </c>
      <c r="I10" s="2609">
        <f>AVERAGE(H8:H9)</f>
        <v>0.875</v>
      </c>
    </row>
    <row r="11" spans="1:9" ht="16" thickBot="1" x14ac:dyDescent="0.4">
      <c r="A11" s="2075" t="s">
        <v>1209</v>
      </c>
      <c r="B11" s="2076"/>
      <c r="C11" s="2076"/>
      <c r="D11" s="2076"/>
      <c r="E11" s="2076"/>
      <c r="F11" s="2076"/>
      <c r="G11" s="2076"/>
      <c r="H11" s="2076"/>
      <c r="I11" s="2077"/>
    </row>
    <row r="12" spans="1:9" ht="31.5" thickBot="1" x14ac:dyDescent="0.4">
      <c r="A12" s="2602">
        <v>2</v>
      </c>
      <c r="B12" s="2601" t="s">
        <v>859</v>
      </c>
      <c r="C12" s="505" t="s">
        <v>1210</v>
      </c>
      <c r="D12" s="1122">
        <v>6</v>
      </c>
      <c r="E12" s="1125">
        <v>3</v>
      </c>
      <c r="F12" s="1126"/>
      <c r="G12" s="1123" t="s">
        <v>1420</v>
      </c>
      <c r="H12" s="1123" t="s">
        <v>1420</v>
      </c>
      <c r="I12" s="1124" t="s">
        <v>1581</v>
      </c>
    </row>
    <row r="13" spans="1:9" ht="15.5" thickBot="1" x14ac:dyDescent="0.4">
      <c r="A13" s="715"/>
      <c r="B13" s="717"/>
      <c r="C13" s="717"/>
      <c r="D13" s="719"/>
      <c r="E13" s="719"/>
      <c r="F13" s="719"/>
      <c r="G13" s="717"/>
      <c r="H13" s="2613" t="s">
        <v>1584</v>
      </c>
      <c r="I13" s="2610" t="s">
        <v>1420</v>
      </c>
    </row>
    <row r="14" spans="1:9" ht="15.5" thickBot="1" x14ac:dyDescent="0.4">
      <c r="A14" s="2078" t="s">
        <v>860</v>
      </c>
      <c r="B14" s="2079"/>
      <c r="C14" s="2079"/>
      <c r="D14" s="2079"/>
      <c r="E14" s="2079"/>
      <c r="F14" s="2079"/>
      <c r="G14" s="2079"/>
      <c r="H14" s="2079"/>
      <c r="I14" s="2080"/>
    </row>
    <row r="15" spans="1:9" ht="44" thickBot="1" x14ac:dyDescent="0.4">
      <c r="A15" s="235" t="s">
        <v>1028</v>
      </c>
      <c r="B15" s="13" t="s">
        <v>861</v>
      </c>
      <c r="C15" s="12" t="s">
        <v>1211</v>
      </c>
      <c r="D15" s="235">
        <v>7</v>
      </c>
      <c r="E15" s="235">
        <v>50</v>
      </c>
      <c r="F15" s="235"/>
      <c r="G15" s="720" t="s">
        <v>1420</v>
      </c>
      <c r="H15" s="720" t="str">
        <f>G15</f>
        <v>NA</v>
      </c>
      <c r="I15" s="12" t="s">
        <v>660</v>
      </c>
    </row>
    <row r="16" spans="1:9" ht="15.5" thickBot="1" x14ac:dyDescent="0.4">
      <c r="A16" s="715"/>
      <c r="B16" s="717"/>
      <c r="C16" s="717"/>
      <c r="D16" s="719"/>
      <c r="E16" s="719"/>
      <c r="F16" s="719"/>
      <c r="G16" s="717"/>
      <c r="H16" s="2613" t="s">
        <v>1584</v>
      </c>
      <c r="I16" s="2610" t="s">
        <v>1420</v>
      </c>
    </row>
    <row r="17" spans="1:9" ht="64.5" customHeight="1" thickBot="1" x14ac:dyDescent="0.4">
      <c r="A17" s="2069" t="s">
        <v>1594</v>
      </c>
      <c r="B17" s="2070"/>
      <c r="C17" s="2070"/>
      <c r="D17" s="2070"/>
      <c r="E17" s="2070"/>
      <c r="F17" s="2070"/>
      <c r="G17" s="2070"/>
      <c r="H17" s="2070"/>
      <c r="I17" s="2071"/>
    </row>
    <row r="18" spans="1:9" ht="47" thickBot="1" x14ac:dyDescent="0.4">
      <c r="A18" s="721">
        <v>4</v>
      </c>
      <c r="B18" s="722" t="s">
        <v>862</v>
      </c>
      <c r="C18" s="722" t="s">
        <v>863</v>
      </c>
      <c r="D18" s="721">
        <v>8</v>
      </c>
      <c r="E18" s="721">
        <v>0</v>
      </c>
      <c r="F18" s="721"/>
      <c r="G18" s="720" t="s">
        <v>1420</v>
      </c>
      <c r="H18" s="720" t="str">
        <f>G18</f>
        <v>NA</v>
      </c>
      <c r="I18" s="12" t="s">
        <v>660</v>
      </c>
    </row>
    <row r="19" spans="1:9" ht="15.5" thickBot="1" x14ac:dyDescent="0.4">
      <c r="A19" s="715"/>
      <c r="B19" s="717"/>
      <c r="C19" s="717"/>
      <c r="D19" s="719"/>
      <c r="E19" s="719"/>
      <c r="F19" s="719"/>
      <c r="G19" s="717"/>
      <c r="H19" s="2613" t="s">
        <v>1584</v>
      </c>
      <c r="I19" s="2610" t="s">
        <v>1420</v>
      </c>
    </row>
    <row r="20" spans="1:9" ht="15.5" thickBot="1" x14ac:dyDescent="0.4">
      <c r="A20" s="2069" t="s">
        <v>1579</v>
      </c>
      <c r="B20" s="2070"/>
      <c r="C20" s="2070"/>
      <c r="D20" s="2070"/>
      <c r="E20" s="2070"/>
      <c r="F20" s="2070"/>
      <c r="G20" s="2070"/>
      <c r="H20" s="2070"/>
      <c r="I20" s="2071"/>
    </row>
    <row r="21" spans="1:9" ht="77.5" x14ac:dyDescent="0.35">
      <c r="A21" s="723">
        <v>5</v>
      </c>
      <c r="B21" s="2081" t="s">
        <v>864</v>
      </c>
      <c r="C21" s="31" t="s">
        <v>1212</v>
      </c>
      <c r="D21" s="723">
        <v>9</v>
      </c>
      <c r="E21" s="723">
        <v>900</v>
      </c>
      <c r="F21" s="723">
        <v>900</v>
      </c>
      <c r="G21" s="720">
        <f>F21/E21</f>
        <v>1</v>
      </c>
      <c r="H21" s="720">
        <f>G21</f>
        <v>1</v>
      </c>
      <c r="I21" s="10" t="s">
        <v>1214</v>
      </c>
    </row>
    <row r="22" spans="1:9" ht="62.5" thickBot="1" x14ac:dyDescent="0.4">
      <c r="A22" s="1127"/>
      <c r="B22" s="2082"/>
      <c r="C22" s="31" t="s">
        <v>1213</v>
      </c>
      <c r="D22" s="1127">
        <v>10</v>
      </c>
      <c r="E22" s="2612">
        <v>0.9</v>
      </c>
      <c r="F22" s="2612">
        <v>1</v>
      </c>
      <c r="G22" s="824">
        <f>F22/E22</f>
        <v>1.1111111111111112</v>
      </c>
      <c r="H22" s="824">
        <v>1.01</v>
      </c>
      <c r="I22" s="2611" t="s">
        <v>1583</v>
      </c>
    </row>
    <row r="23" spans="1:9" ht="15.5" thickBot="1" x14ac:dyDescent="0.4">
      <c r="A23" s="715"/>
      <c r="B23" s="717"/>
      <c r="C23" s="717"/>
      <c r="D23" s="719"/>
      <c r="E23" s="719"/>
      <c r="F23" s="719"/>
      <c r="G23" s="717"/>
      <c r="H23" s="2613" t="s">
        <v>1584</v>
      </c>
      <c r="I23" s="2609">
        <f>AVERAGE(H21:H22)</f>
        <v>1.0049999999999999</v>
      </c>
    </row>
    <row r="24" spans="1:9" ht="15.5" x14ac:dyDescent="0.35">
      <c r="A24" s="2056" t="s">
        <v>1580</v>
      </c>
      <c r="B24" s="2057"/>
      <c r="C24" s="2057"/>
      <c r="D24" s="2057"/>
      <c r="E24" s="2057"/>
      <c r="F24" s="2057"/>
      <c r="G24" s="2057"/>
      <c r="H24" s="2057"/>
      <c r="I24" s="2058"/>
    </row>
    <row r="25" spans="1:9" ht="77.5" x14ac:dyDescent="0.35">
      <c r="A25" s="2059">
        <v>3</v>
      </c>
      <c r="B25" s="2060" t="s">
        <v>1564</v>
      </c>
      <c r="C25" s="1988" t="s">
        <v>1570</v>
      </c>
      <c r="D25" s="1986">
        <v>11</v>
      </c>
      <c r="E25" s="1988">
        <v>60</v>
      </c>
      <c r="F25" s="1988">
        <v>60</v>
      </c>
      <c r="G25" s="1991">
        <f>F25/E25</f>
        <v>1</v>
      </c>
      <c r="H25" s="1991">
        <f>G25</f>
        <v>1</v>
      </c>
      <c r="I25" s="1989" t="s">
        <v>1589</v>
      </c>
    </row>
    <row r="26" spans="1:9" ht="62" x14ac:dyDescent="0.35">
      <c r="A26" s="2059"/>
      <c r="B26" s="2060"/>
      <c r="C26" s="1987" t="s">
        <v>1565</v>
      </c>
      <c r="D26" s="1986">
        <v>12</v>
      </c>
      <c r="E26" s="1988">
        <f>27*30</f>
        <v>810</v>
      </c>
      <c r="F26" s="1988">
        <v>900</v>
      </c>
      <c r="G26" s="1991">
        <f>F26/E26</f>
        <v>1.1111111111111112</v>
      </c>
      <c r="H26" s="1991">
        <v>1.01</v>
      </c>
      <c r="I26" s="1989" t="s">
        <v>1585</v>
      </c>
    </row>
    <row r="27" spans="1:9" ht="16" thickBot="1" x14ac:dyDescent="0.4">
      <c r="A27" s="2615"/>
      <c r="B27" s="2616"/>
      <c r="C27" s="2616"/>
      <c r="D27" s="2617"/>
      <c r="E27" s="2618"/>
      <c r="F27" s="2618"/>
      <c r="G27" s="2619"/>
      <c r="H27" s="2619"/>
      <c r="I27" s="2620"/>
    </row>
    <row r="28" spans="1:9" ht="15.5" thickBot="1" x14ac:dyDescent="0.4">
      <c r="A28" s="715"/>
      <c r="B28" s="717"/>
      <c r="C28" s="717"/>
      <c r="D28" s="719"/>
      <c r="E28" s="719"/>
      <c r="F28" s="719"/>
      <c r="G28" s="717"/>
      <c r="H28" s="717" t="s">
        <v>1584</v>
      </c>
      <c r="I28" s="2614">
        <f>AVERAGE(H25:H26)</f>
        <v>1.0049999999999999</v>
      </c>
    </row>
    <row r="29" spans="1:9" ht="15.5" x14ac:dyDescent="0.35">
      <c r="A29" s="2053" t="s">
        <v>1591</v>
      </c>
      <c r="B29" s="2053"/>
      <c r="C29" s="2053"/>
      <c r="D29" s="2053"/>
      <c r="E29" s="2053"/>
      <c r="F29" s="2053"/>
      <c r="G29" s="2053"/>
      <c r="H29" s="2053"/>
      <c r="I29" s="2053"/>
    </row>
    <row r="30" spans="1:9" ht="77.5" x14ac:dyDescent="0.35">
      <c r="A30" s="2059">
        <v>4</v>
      </c>
      <c r="B30" s="2061" t="s">
        <v>1566</v>
      </c>
      <c r="C30" s="1992" t="s">
        <v>1567</v>
      </c>
      <c r="D30" s="1986">
        <v>13</v>
      </c>
      <c r="E30" s="1988"/>
      <c r="F30" s="1988"/>
      <c r="G30" s="1988"/>
      <c r="H30" s="1988" t="s">
        <v>660</v>
      </c>
      <c r="I30" s="1989" t="s">
        <v>1582</v>
      </c>
    </row>
    <row r="31" spans="1:9" ht="31" x14ac:dyDescent="0.35">
      <c r="A31" s="2059"/>
      <c r="B31" s="2061"/>
      <c r="C31" s="1992" t="s">
        <v>1568</v>
      </c>
      <c r="D31" s="1986">
        <v>14</v>
      </c>
      <c r="E31" s="1988"/>
      <c r="F31" s="1988"/>
      <c r="G31" s="1988"/>
      <c r="H31" s="1988" t="s">
        <v>660</v>
      </c>
      <c r="I31" s="1989" t="s">
        <v>1582</v>
      </c>
    </row>
    <row r="32" spans="1:9" ht="31" x14ac:dyDescent="0.35">
      <c r="A32" s="2059"/>
      <c r="B32" s="2061"/>
      <c r="C32" s="1992" t="s">
        <v>1569</v>
      </c>
      <c r="D32" s="1986">
        <v>15</v>
      </c>
      <c r="E32" s="1988"/>
      <c r="F32" s="1988"/>
      <c r="G32" s="1988"/>
      <c r="H32" s="1988" t="s">
        <v>660</v>
      </c>
      <c r="I32" s="1989" t="s">
        <v>1582</v>
      </c>
    </row>
    <row r="33" spans="1:9" ht="62" x14ac:dyDescent="0.35">
      <c r="A33" s="1993">
        <v>1</v>
      </c>
      <c r="B33" s="1994" t="s">
        <v>864</v>
      </c>
      <c r="C33" s="1902" t="s">
        <v>1586</v>
      </c>
      <c r="D33" s="1995">
        <v>16</v>
      </c>
      <c r="E33" s="1993">
        <v>60</v>
      </c>
      <c r="F33" s="1993">
        <v>0</v>
      </c>
      <c r="G33" s="1990">
        <f t="shared" ref="G33" si="0">F33/E33</f>
        <v>0</v>
      </c>
      <c r="H33" s="1990">
        <f>G33</f>
        <v>0</v>
      </c>
      <c r="I33" s="1994" t="s">
        <v>1590</v>
      </c>
    </row>
    <row r="34" spans="1:9" ht="15.5" x14ac:dyDescent="0.35">
      <c r="A34" s="2603"/>
      <c r="B34" s="2604"/>
      <c r="C34" s="2605"/>
      <c r="D34" s="2624"/>
      <c r="E34" s="2603"/>
      <c r="F34" s="2603"/>
      <c r="G34" s="2606"/>
      <c r="H34" s="2606" t="s">
        <v>1584</v>
      </c>
      <c r="I34" s="2621">
        <f>AVERAGE(H30:H33)</f>
        <v>0</v>
      </c>
    </row>
    <row r="35" spans="1:9" ht="15.5" x14ac:dyDescent="0.35">
      <c r="A35" s="2053" t="s">
        <v>1592</v>
      </c>
      <c r="B35" s="2053"/>
      <c r="C35" s="2053"/>
      <c r="D35" s="2053"/>
      <c r="E35" s="2053"/>
      <c r="F35" s="2053"/>
      <c r="G35" s="2053"/>
      <c r="H35" s="2053"/>
      <c r="I35" s="2053"/>
    </row>
    <row r="36" spans="1:9" ht="62" x14ac:dyDescent="0.35">
      <c r="A36" s="2062">
        <v>2</v>
      </c>
      <c r="B36" s="2065" t="s">
        <v>1560</v>
      </c>
      <c r="C36" s="1987" t="s">
        <v>1561</v>
      </c>
      <c r="D36" s="1986">
        <v>17</v>
      </c>
      <c r="E36" s="2625">
        <v>20</v>
      </c>
      <c r="F36" s="2625">
        <v>5</v>
      </c>
      <c r="G36" s="2626">
        <f>F36/E36</f>
        <v>0.25</v>
      </c>
      <c r="H36" s="2626">
        <f>G36</f>
        <v>0.25</v>
      </c>
      <c r="I36" s="2627" t="s">
        <v>1215</v>
      </c>
    </row>
    <row r="37" spans="1:9" ht="31" x14ac:dyDescent="0.35">
      <c r="A37" s="2063"/>
      <c r="B37" s="2066"/>
      <c r="C37" s="1988" t="s">
        <v>1562</v>
      </c>
      <c r="D37" s="1986">
        <v>18</v>
      </c>
      <c r="E37" s="1990">
        <v>0.2</v>
      </c>
      <c r="F37" s="1990">
        <v>0</v>
      </c>
      <c r="G37" s="1990">
        <f>F37/E37</f>
        <v>0</v>
      </c>
      <c r="H37" s="2622">
        <f>G37</f>
        <v>0</v>
      </c>
      <c r="I37" s="1989" t="s">
        <v>1555</v>
      </c>
    </row>
    <row r="38" spans="1:9" ht="46.5" x14ac:dyDescent="0.35">
      <c r="A38" s="2064"/>
      <c r="B38" s="2067"/>
      <c r="C38" s="1988" t="s">
        <v>1563</v>
      </c>
      <c r="D38" s="1986">
        <v>19</v>
      </c>
      <c r="E38" s="1986">
        <v>60</v>
      </c>
      <c r="F38" s="1990">
        <v>0</v>
      </c>
      <c r="G38" s="1990">
        <f>F38/E38</f>
        <v>0</v>
      </c>
      <c r="H38" s="1986" t="s">
        <v>660</v>
      </c>
      <c r="I38" s="1989" t="s">
        <v>1581</v>
      </c>
    </row>
    <row r="39" spans="1:9" ht="15.5" x14ac:dyDescent="0.35">
      <c r="A39" s="2603"/>
      <c r="B39" s="2604"/>
      <c r="C39" s="2605"/>
      <c r="D39" s="2624"/>
      <c r="E39" s="2603"/>
      <c r="F39" s="2603"/>
      <c r="G39" s="2606"/>
      <c r="H39" s="2606" t="s">
        <v>1584</v>
      </c>
      <c r="I39" s="2621">
        <f>AVERAGE(H36:H38)</f>
        <v>0.125</v>
      </c>
    </row>
    <row r="40" spans="1:9" ht="15.5" x14ac:dyDescent="0.35">
      <c r="A40" s="2603"/>
      <c r="B40" s="2604"/>
      <c r="C40" s="2605"/>
      <c r="D40" s="2624"/>
      <c r="E40" s="2603"/>
      <c r="F40" s="2603"/>
      <c r="G40" s="2606" t="s">
        <v>1587</v>
      </c>
      <c r="H40" s="2623">
        <f>AVERAGE(H5:H39)</f>
        <v>0.68533333333333335</v>
      </c>
      <c r="I40" s="2621"/>
    </row>
    <row r="43" spans="1:9" x14ac:dyDescent="0.35">
      <c r="D43"/>
      <c r="I43"/>
    </row>
    <row r="44" spans="1:9" x14ac:dyDescent="0.35">
      <c r="D44"/>
      <c r="I44"/>
    </row>
    <row r="45" spans="1:9" x14ac:dyDescent="0.35">
      <c r="D45"/>
      <c r="I45"/>
    </row>
    <row r="46" spans="1:9" x14ac:dyDescent="0.35">
      <c r="D46"/>
      <c r="I46"/>
    </row>
    <row r="47" spans="1:9" x14ac:dyDescent="0.35">
      <c r="D47"/>
      <c r="I47"/>
    </row>
    <row r="48" spans="1:9" x14ac:dyDescent="0.35">
      <c r="D48"/>
      <c r="I48"/>
    </row>
    <row r="49" spans="2:9" x14ac:dyDescent="0.35">
      <c r="D49"/>
      <c r="I49"/>
    </row>
    <row r="50" spans="2:9" x14ac:dyDescent="0.35">
      <c r="D50"/>
      <c r="I50"/>
    </row>
    <row r="51" spans="2:9" x14ac:dyDescent="0.35">
      <c r="D51"/>
      <c r="I51"/>
    </row>
    <row r="52" spans="2:9" x14ac:dyDescent="0.35">
      <c r="D52"/>
      <c r="I52"/>
    </row>
    <row r="53" spans="2:9" x14ac:dyDescent="0.35">
      <c r="D53"/>
      <c r="I53"/>
    </row>
    <row r="54" spans="2:9" x14ac:dyDescent="0.35">
      <c r="D54"/>
      <c r="I54"/>
    </row>
    <row r="55" spans="2:9" x14ac:dyDescent="0.35">
      <c r="D55"/>
      <c r="I55"/>
    </row>
    <row r="56" spans="2:9" x14ac:dyDescent="0.35">
      <c r="D56"/>
      <c r="I56"/>
    </row>
    <row r="57" spans="2:9" x14ac:dyDescent="0.35">
      <c r="D57"/>
      <c r="I57"/>
    </row>
    <row r="58" spans="2:9" x14ac:dyDescent="0.35">
      <c r="D58"/>
      <c r="G58" s="1978"/>
      <c r="I58"/>
    </row>
    <row r="59" spans="2:9" x14ac:dyDescent="0.35">
      <c r="B59" s="1696"/>
      <c r="D59"/>
      <c r="G59" s="1978"/>
      <c r="I59"/>
    </row>
  </sheetData>
  <mergeCells count="19">
    <mergeCell ref="A5:A9"/>
    <mergeCell ref="B5:B9"/>
    <mergeCell ref="A36:A38"/>
    <mergeCell ref="B36:B38"/>
    <mergeCell ref="A1:I1"/>
    <mergeCell ref="A2:I2"/>
    <mergeCell ref="A20:I20"/>
    <mergeCell ref="A11:I11"/>
    <mergeCell ref="A14:I14"/>
    <mergeCell ref="A17:I17"/>
    <mergeCell ref="B21:B22"/>
    <mergeCell ref="A24:I24"/>
    <mergeCell ref="A25:A26"/>
    <mergeCell ref="B25:B26"/>
    <mergeCell ref="A29:I29"/>
    <mergeCell ref="A30:A32"/>
    <mergeCell ref="B30:B32"/>
    <mergeCell ref="A35:I35"/>
    <mergeCell ref="A4:I4"/>
  </mergeCells>
  <printOptions horizontalCentered="1"/>
  <pageMargins left="0.51181102362204722" right="0.51181102362204722" top="0.55118110236220474" bottom="0.55118110236220474" header="0.31496062992125984" footer="0.31496062992125984"/>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CE8D-EB96-4CA6-A756-66C368E38FEF}">
  <sheetPr>
    <tabColor rgb="FF7030A0"/>
  </sheetPr>
  <dimension ref="A1:K28"/>
  <sheetViews>
    <sheetView topLeftCell="B20" zoomScaleNormal="100" workbookViewId="0">
      <selection activeCell="E31" sqref="E31"/>
    </sheetView>
  </sheetViews>
  <sheetFormatPr defaultRowHeight="14.5" x14ac:dyDescent="0.35"/>
  <cols>
    <col min="1" max="1" width="8.54296875" customWidth="1"/>
    <col min="2" max="2" width="34.26953125" customWidth="1"/>
    <col min="3" max="3" width="33.1796875" customWidth="1"/>
    <col min="4" max="4" width="9.54296875" customWidth="1"/>
    <col min="5" max="5" width="10.54296875" customWidth="1"/>
    <col min="6" max="6" width="11.1796875" customWidth="1"/>
    <col min="7" max="7" width="15.81640625" bestFit="1" customWidth="1"/>
    <col min="8" max="8" width="0" hidden="1" customWidth="1"/>
    <col min="9" max="9" width="13.36328125" customWidth="1"/>
    <col min="10" max="10" width="36.453125" customWidth="1"/>
    <col min="11" max="11" width="15.1796875" customWidth="1"/>
  </cols>
  <sheetData>
    <row r="1" spans="1:11" ht="18" x14ac:dyDescent="0.4">
      <c r="A1" s="2100" t="s">
        <v>941</v>
      </c>
      <c r="B1" s="2101"/>
      <c r="C1" s="2101"/>
      <c r="D1" s="2101"/>
      <c r="E1" s="2101"/>
      <c r="F1" s="2101"/>
      <c r="G1" s="2101"/>
      <c r="H1" s="2101"/>
      <c r="I1" s="2101"/>
      <c r="J1" s="2101"/>
    </row>
    <row r="2" spans="1:11" ht="21" customHeight="1" thickBot="1" x14ac:dyDescent="0.5">
      <c r="A2" s="2102" t="s">
        <v>1029</v>
      </c>
      <c r="B2" s="2039"/>
      <c r="C2" s="2039"/>
      <c r="D2" s="2039"/>
      <c r="E2" s="2039"/>
      <c r="F2" s="2039"/>
      <c r="G2" s="2039"/>
      <c r="H2" s="2039"/>
      <c r="I2" s="2039"/>
      <c r="J2" s="2039"/>
      <c r="K2" s="884"/>
    </row>
    <row r="3" spans="1:11" ht="42" customHeight="1" thickBot="1" x14ac:dyDescent="0.4">
      <c r="A3" s="1746" t="s">
        <v>831</v>
      </c>
      <c r="B3" s="1747" t="s">
        <v>159</v>
      </c>
      <c r="C3" s="1747" t="s">
        <v>4</v>
      </c>
      <c r="D3" s="1748" t="s">
        <v>943</v>
      </c>
      <c r="E3" s="1749" t="s">
        <v>278</v>
      </c>
      <c r="F3" s="1750" t="s">
        <v>162</v>
      </c>
      <c r="G3" s="1747" t="s">
        <v>25</v>
      </c>
      <c r="H3" s="1747" t="s">
        <v>127</v>
      </c>
      <c r="I3" s="1747" t="s">
        <v>1418</v>
      </c>
      <c r="J3" s="803" t="s">
        <v>791</v>
      </c>
    </row>
    <row r="4" spans="1:11" ht="17" thickBot="1" x14ac:dyDescent="0.4">
      <c r="A4" s="2096" t="s">
        <v>0</v>
      </c>
      <c r="B4" s="2097"/>
      <c r="C4" s="2097"/>
      <c r="D4" s="2097"/>
      <c r="E4" s="2097"/>
      <c r="F4" s="2097"/>
      <c r="G4" s="2097"/>
      <c r="H4" s="2097"/>
      <c r="I4" s="2097"/>
      <c r="J4" s="2098"/>
    </row>
    <row r="5" spans="1:11" ht="16" thickBot="1" x14ac:dyDescent="0.4">
      <c r="A5" s="2103" t="s">
        <v>942</v>
      </c>
      <c r="B5" s="2104"/>
      <c r="C5" s="2104"/>
      <c r="D5" s="2104"/>
      <c r="E5" s="2104"/>
      <c r="F5" s="2104"/>
      <c r="G5" s="2104"/>
      <c r="H5" s="2104"/>
      <c r="I5" s="2104"/>
      <c r="J5" s="2105"/>
    </row>
    <row r="6" spans="1:11" ht="16" thickBot="1" x14ac:dyDescent="0.4">
      <c r="A6" s="1674"/>
      <c r="B6" s="1675"/>
      <c r="C6" s="1675"/>
      <c r="D6" s="1675"/>
      <c r="E6" s="1675"/>
      <c r="F6" s="1675"/>
      <c r="G6" s="1675"/>
      <c r="H6" s="1675"/>
      <c r="I6" s="1675"/>
      <c r="J6" s="1676"/>
    </row>
    <row r="7" spans="1:11" ht="31" x14ac:dyDescent="0.35">
      <c r="A7" s="2106">
        <v>1</v>
      </c>
      <c r="B7" s="2108" t="s">
        <v>944</v>
      </c>
      <c r="C7" s="804" t="s">
        <v>945</v>
      </c>
      <c r="D7" s="805">
        <v>1</v>
      </c>
      <c r="E7" s="806"/>
      <c r="F7" s="806"/>
      <c r="G7" s="807" t="s">
        <v>1104</v>
      </c>
      <c r="H7" s="807"/>
      <c r="I7" s="807" t="str">
        <f>G7</f>
        <v>N/A</v>
      </c>
      <c r="J7" s="808" t="s">
        <v>660</v>
      </c>
    </row>
    <row r="8" spans="1:11" ht="252" x14ac:dyDescent="0.35">
      <c r="A8" s="2106"/>
      <c r="B8" s="2108"/>
      <c r="C8" s="809" t="s">
        <v>946</v>
      </c>
      <c r="D8" s="810">
        <v>2</v>
      </c>
      <c r="E8" s="811">
        <v>5</v>
      </c>
      <c r="F8" s="812">
        <v>2</v>
      </c>
      <c r="G8" s="813">
        <f t="shared" ref="G8:G11" si="0">F8/E8</f>
        <v>0.4</v>
      </c>
      <c r="H8" s="814"/>
      <c r="I8" s="1320">
        <f t="shared" ref="I8:I12" si="1">G8</f>
        <v>0.4</v>
      </c>
      <c r="J8" s="777" t="s">
        <v>1227</v>
      </c>
    </row>
    <row r="9" spans="1:11" ht="46.5" x14ac:dyDescent="0.35">
      <c r="A9" s="2106"/>
      <c r="B9" s="2108"/>
      <c r="C9" s="815" t="s">
        <v>947</v>
      </c>
      <c r="D9" s="810">
        <v>3</v>
      </c>
      <c r="E9" s="811">
        <v>100</v>
      </c>
      <c r="F9" s="814">
        <v>100</v>
      </c>
      <c r="G9" s="813">
        <f t="shared" si="0"/>
        <v>1</v>
      </c>
      <c r="H9" s="814"/>
      <c r="I9" s="1320">
        <f t="shared" si="1"/>
        <v>1</v>
      </c>
      <c r="J9" s="816" t="s">
        <v>1228</v>
      </c>
      <c r="K9" s="308" t="s">
        <v>1229</v>
      </c>
    </row>
    <row r="10" spans="1:11" ht="31" x14ac:dyDescent="0.35">
      <c r="A10" s="2107"/>
      <c r="B10" s="2109"/>
      <c r="C10" s="809" t="s">
        <v>948</v>
      </c>
      <c r="D10" s="810">
        <v>4</v>
      </c>
      <c r="E10" s="817">
        <v>1</v>
      </c>
      <c r="F10" s="814">
        <v>1</v>
      </c>
      <c r="G10" s="813">
        <f t="shared" si="0"/>
        <v>1</v>
      </c>
      <c r="H10" s="814"/>
      <c r="I10" s="1320">
        <f t="shared" si="1"/>
        <v>1</v>
      </c>
      <c r="J10" s="777" t="s">
        <v>1431</v>
      </c>
    </row>
    <row r="11" spans="1:11" ht="42" x14ac:dyDescent="0.35">
      <c r="A11" s="2087">
        <v>2</v>
      </c>
      <c r="B11" s="2089" t="s">
        <v>949</v>
      </c>
      <c r="C11" s="778" t="s">
        <v>950</v>
      </c>
      <c r="D11" s="819">
        <v>5</v>
      </c>
      <c r="E11" s="817">
        <v>12</v>
      </c>
      <c r="F11" s="814">
        <v>27</v>
      </c>
      <c r="G11" s="813">
        <f t="shared" si="0"/>
        <v>2.25</v>
      </c>
      <c r="H11" s="814"/>
      <c r="I11" s="1320">
        <v>1.01</v>
      </c>
      <c r="J11" s="781" t="s">
        <v>951</v>
      </c>
    </row>
    <row r="12" spans="1:11" ht="42.5" thickBot="1" x14ac:dyDescent="0.4">
      <c r="A12" s="2088"/>
      <c r="B12" s="2090"/>
      <c r="C12" s="820" t="s">
        <v>952</v>
      </c>
      <c r="D12" s="1139">
        <v>6</v>
      </c>
      <c r="E12" s="822">
        <v>20</v>
      </c>
      <c r="F12" s="823">
        <v>0</v>
      </c>
      <c r="G12" s="824">
        <f>F12/E12</f>
        <v>0</v>
      </c>
      <c r="H12" s="825"/>
      <c r="I12" s="1320">
        <f t="shared" si="1"/>
        <v>0</v>
      </c>
      <c r="J12" s="826"/>
    </row>
    <row r="13" spans="1:11" ht="16" thickBot="1" x14ac:dyDescent="0.4">
      <c r="A13" s="827"/>
      <c r="B13" s="828"/>
      <c r="C13" s="829" t="s">
        <v>366</v>
      </c>
      <c r="D13" s="1140"/>
      <c r="E13" s="830"/>
      <c r="F13" s="831"/>
      <c r="G13" s="852"/>
      <c r="H13" s="833"/>
      <c r="I13" s="833"/>
      <c r="J13" s="834"/>
    </row>
    <row r="14" spans="1:11" ht="16" thickBot="1" x14ac:dyDescent="0.4">
      <c r="A14" s="827"/>
      <c r="B14" s="1141"/>
      <c r="C14" s="829"/>
      <c r="D14" s="1142"/>
      <c r="E14" s="830"/>
      <c r="F14" s="1143"/>
      <c r="G14" s="852"/>
      <c r="H14" s="833"/>
      <c r="I14" s="833"/>
      <c r="J14" s="853"/>
    </row>
    <row r="15" spans="1:11" ht="17" thickBot="1" x14ac:dyDescent="0.4">
      <c r="A15" s="2096" t="s">
        <v>0</v>
      </c>
      <c r="B15" s="2097"/>
      <c r="C15" s="2097"/>
      <c r="D15" s="2097"/>
      <c r="E15" s="2097"/>
      <c r="F15" s="2097"/>
      <c r="G15" s="2097"/>
      <c r="H15" s="2097"/>
      <c r="I15" s="2097"/>
      <c r="J15" s="2098"/>
    </row>
    <row r="16" spans="1:11" ht="16" thickBot="1" x14ac:dyDescent="0.4">
      <c r="A16" s="2093" t="s">
        <v>953</v>
      </c>
      <c r="B16" s="2094"/>
      <c r="C16" s="2094"/>
      <c r="D16" s="2094"/>
      <c r="E16" s="2094"/>
      <c r="F16" s="2094"/>
      <c r="G16" s="2094"/>
      <c r="H16" s="2094"/>
      <c r="I16" s="2094"/>
      <c r="J16" s="2095"/>
    </row>
    <row r="17" spans="1:10" ht="30.5" thickBot="1" x14ac:dyDescent="0.4">
      <c r="A17" s="801" t="s">
        <v>831</v>
      </c>
      <c r="B17" s="802" t="s">
        <v>159</v>
      </c>
      <c r="C17" s="802" t="s">
        <v>4</v>
      </c>
      <c r="D17" s="835" t="s">
        <v>943</v>
      </c>
      <c r="E17" s="835" t="s">
        <v>278</v>
      </c>
      <c r="F17" s="836" t="s">
        <v>162</v>
      </c>
      <c r="G17" s="802" t="s">
        <v>25</v>
      </c>
      <c r="H17" s="802" t="s">
        <v>127</v>
      </c>
      <c r="I17" s="1319"/>
      <c r="J17" s="803" t="s">
        <v>791</v>
      </c>
    </row>
    <row r="18" spans="1:10" ht="42" x14ac:dyDescent="0.35">
      <c r="A18" s="2099">
        <v>3</v>
      </c>
      <c r="B18" s="2090" t="s">
        <v>954</v>
      </c>
      <c r="C18" s="837" t="s">
        <v>955</v>
      </c>
      <c r="D18" s="838">
        <v>7</v>
      </c>
      <c r="E18" s="839">
        <v>1500</v>
      </c>
      <c r="F18" s="812">
        <v>1947</v>
      </c>
      <c r="G18" s="840">
        <f t="shared" ref="G18:H20" si="2">F18/E18</f>
        <v>1.298</v>
      </c>
      <c r="H18" s="841">
        <f t="shared" si="2"/>
        <v>6.6666666666666664E-4</v>
      </c>
      <c r="I18" s="841">
        <v>1.01</v>
      </c>
      <c r="J18" s="842" t="s">
        <v>1230</v>
      </c>
    </row>
    <row r="19" spans="1:10" ht="56" x14ac:dyDescent="0.35">
      <c r="A19" s="2099"/>
      <c r="B19" s="2090"/>
      <c r="C19" s="843" t="s">
        <v>956</v>
      </c>
      <c r="D19" s="838">
        <v>8</v>
      </c>
      <c r="E19" s="839">
        <v>6</v>
      </c>
      <c r="F19" s="812">
        <v>2</v>
      </c>
      <c r="G19" s="844">
        <f t="shared" si="2"/>
        <v>0.33333333333333331</v>
      </c>
      <c r="H19" s="813">
        <f t="shared" si="2"/>
        <v>0.16666666666666666</v>
      </c>
      <c r="I19" s="813">
        <f>G19</f>
        <v>0.33333333333333331</v>
      </c>
      <c r="J19" s="1322" t="s">
        <v>1432</v>
      </c>
    </row>
    <row r="20" spans="1:10" ht="42.5" thickBot="1" x14ac:dyDescent="0.4">
      <c r="A20" s="845">
        <v>4</v>
      </c>
      <c r="B20" s="846" t="s">
        <v>957</v>
      </c>
      <c r="C20" s="847" t="s">
        <v>958</v>
      </c>
      <c r="D20" s="821">
        <v>9</v>
      </c>
      <c r="E20" s="822">
        <v>54</v>
      </c>
      <c r="F20" s="823">
        <v>10</v>
      </c>
      <c r="G20" s="848">
        <f t="shared" si="2"/>
        <v>0.18518518518518517</v>
      </c>
      <c r="H20" s="824">
        <f t="shared" si="2"/>
        <v>1.8518518518518517E-2</v>
      </c>
      <c r="I20" s="824">
        <f>G20</f>
        <v>0.18518518518518517</v>
      </c>
      <c r="J20" s="1323" t="s">
        <v>1231</v>
      </c>
    </row>
    <row r="21" spans="1:10" ht="16" thickBot="1" x14ac:dyDescent="0.4">
      <c r="A21" s="827"/>
      <c r="B21" s="849"/>
      <c r="C21" s="829" t="s">
        <v>366</v>
      </c>
      <c r="D21" s="850"/>
      <c r="E21" s="851"/>
      <c r="F21" s="639"/>
      <c r="G21" s="832"/>
      <c r="H21" s="852"/>
      <c r="I21" s="852"/>
      <c r="J21" s="853"/>
    </row>
    <row r="22" spans="1:10" ht="17" thickBot="1" x14ac:dyDescent="0.4">
      <c r="A22" s="2096" t="s">
        <v>0</v>
      </c>
      <c r="B22" s="2097"/>
      <c r="C22" s="2097"/>
      <c r="D22" s="2097"/>
      <c r="E22" s="2097"/>
      <c r="F22" s="2097"/>
      <c r="G22" s="2097"/>
      <c r="H22" s="2097"/>
      <c r="I22" s="2097"/>
      <c r="J22" s="2098"/>
    </row>
    <row r="23" spans="1:10" ht="16" thickBot="1" x14ac:dyDescent="0.4">
      <c r="A23" s="2091" t="s">
        <v>959</v>
      </c>
      <c r="B23" s="2092"/>
      <c r="C23" s="2092"/>
      <c r="D23" s="2092"/>
      <c r="E23" s="2092"/>
      <c r="F23" s="2092"/>
      <c r="G23" s="2092"/>
      <c r="H23" s="2092"/>
      <c r="I23" s="2092"/>
      <c r="J23" s="2092"/>
    </row>
    <row r="24" spans="1:10" ht="30.5" thickBot="1" x14ac:dyDescent="0.4">
      <c r="A24" s="801" t="s">
        <v>831</v>
      </c>
      <c r="B24" s="802" t="s">
        <v>159</v>
      </c>
      <c r="C24" s="802" t="s">
        <v>4</v>
      </c>
      <c r="D24" s="835" t="s">
        <v>943</v>
      </c>
      <c r="E24" s="835" t="s">
        <v>278</v>
      </c>
      <c r="F24" s="836" t="s">
        <v>162</v>
      </c>
      <c r="G24" s="802" t="s">
        <v>25</v>
      </c>
      <c r="H24" s="802" t="s">
        <v>127</v>
      </c>
      <c r="I24" s="1319"/>
      <c r="J24" s="803" t="s">
        <v>791</v>
      </c>
    </row>
    <row r="25" spans="1:10" ht="31" x14ac:dyDescent="0.35">
      <c r="A25" s="2083">
        <v>5</v>
      </c>
      <c r="B25" s="2085" t="s">
        <v>960</v>
      </c>
      <c r="C25" s="809" t="s">
        <v>961</v>
      </c>
      <c r="D25" s="838">
        <v>10</v>
      </c>
      <c r="E25" s="854">
        <v>27</v>
      </c>
      <c r="F25" s="855">
        <v>27</v>
      </c>
      <c r="G25" s="813">
        <f>F25/E25</f>
        <v>1</v>
      </c>
      <c r="H25" s="856"/>
      <c r="I25" s="1321">
        <f>G25</f>
        <v>1</v>
      </c>
      <c r="J25" s="767" t="s">
        <v>962</v>
      </c>
    </row>
    <row r="26" spans="1:10" ht="46.5" x14ac:dyDescent="0.35">
      <c r="A26" s="2084"/>
      <c r="B26" s="2086"/>
      <c r="C26" s="809" t="s">
        <v>963</v>
      </c>
      <c r="D26" s="838">
        <v>11</v>
      </c>
      <c r="E26" s="854">
        <v>287</v>
      </c>
      <c r="F26" s="855">
        <v>27</v>
      </c>
      <c r="G26" s="813">
        <f>F26/E26</f>
        <v>9.4076655052264813E-2</v>
      </c>
      <c r="H26" s="856"/>
      <c r="I26" s="1321">
        <f t="shared" ref="I26:I27" si="3">G26</f>
        <v>9.4076655052264813E-2</v>
      </c>
      <c r="J26" s="767" t="s">
        <v>964</v>
      </c>
    </row>
    <row r="27" spans="1:10" ht="31.5" thickBot="1" x14ac:dyDescent="0.4">
      <c r="A27" s="2084"/>
      <c r="B27" s="2086"/>
      <c r="C27" s="818" t="s">
        <v>965</v>
      </c>
      <c r="D27" s="821">
        <v>12</v>
      </c>
      <c r="E27" s="857">
        <v>6</v>
      </c>
      <c r="F27" s="858">
        <v>1</v>
      </c>
      <c r="G27" s="824">
        <f>F27/E27</f>
        <v>0.16666666666666666</v>
      </c>
      <c r="H27" s="859"/>
      <c r="I27" s="1321">
        <f t="shared" si="3"/>
        <v>0.16666666666666666</v>
      </c>
      <c r="J27" s="860" t="s">
        <v>966</v>
      </c>
    </row>
    <row r="28" spans="1:10" ht="18.5" thickBot="1" x14ac:dyDescent="0.4">
      <c r="A28" s="861"/>
      <c r="B28" s="862"/>
      <c r="C28" s="829" t="s">
        <v>366</v>
      </c>
      <c r="D28" s="863"/>
      <c r="E28" s="864"/>
      <c r="F28" s="864"/>
      <c r="G28" s="864"/>
      <c r="H28" s="862"/>
      <c r="I28" s="832">
        <f>AVERAGE(I7:I27)</f>
        <v>0.56356925820340453</v>
      </c>
      <c r="J28" s="865"/>
    </row>
  </sheetData>
  <mergeCells count="16">
    <mergeCell ref="A1:J1"/>
    <mergeCell ref="A2:J2"/>
    <mergeCell ref="A5:J5"/>
    <mergeCell ref="A7:A10"/>
    <mergeCell ref="B7:B10"/>
    <mergeCell ref="A4:J4"/>
    <mergeCell ref="A25:A27"/>
    <mergeCell ref="B25:B27"/>
    <mergeCell ref="A11:A12"/>
    <mergeCell ref="B11:B12"/>
    <mergeCell ref="A23:J23"/>
    <mergeCell ref="A16:J16"/>
    <mergeCell ref="A15:J15"/>
    <mergeCell ref="A18:A19"/>
    <mergeCell ref="B18:B19"/>
    <mergeCell ref="A22:J22"/>
  </mergeCells>
  <printOptions horizontalCentered="1"/>
  <pageMargins left="0.51181102362204722" right="0.51181102362204722" top="0.55118110236220474" bottom="0.55118110236220474" header="0.31496062992125984" footer="0.31496062992125984"/>
  <pageSetup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00C3-5BB7-4C93-A600-61048D73311B}">
  <sheetPr>
    <tabColor theme="0" tint="-0.499984740745262"/>
  </sheetPr>
  <dimension ref="A1:I29"/>
  <sheetViews>
    <sheetView topLeftCell="C21" zoomScaleNormal="100" workbookViewId="0">
      <selection sqref="A1:I1"/>
    </sheetView>
  </sheetViews>
  <sheetFormatPr defaultRowHeight="14.5" x14ac:dyDescent="0.35"/>
  <cols>
    <col min="1" max="1" width="7.7265625" customWidth="1"/>
    <col min="2" max="2" width="36.54296875" customWidth="1"/>
    <col min="3" max="3" width="29.7265625" customWidth="1"/>
    <col min="4" max="4" width="9" customWidth="1"/>
    <col min="5" max="5" width="8.453125" customWidth="1"/>
    <col min="6" max="6" width="10" customWidth="1"/>
    <col min="7" max="8" width="12.7265625" customWidth="1"/>
    <col min="9" max="9" width="46.26953125" customWidth="1"/>
  </cols>
  <sheetData>
    <row r="1" spans="1:9" ht="21" x14ac:dyDescent="0.5">
      <c r="A1" s="2124" t="s">
        <v>829</v>
      </c>
      <c r="B1" s="2124"/>
      <c r="C1" s="2124"/>
      <c r="D1" s="2124"/>
      <c r="E1" s="2124"/>
      <c r="F1" s="2124"/>
      <c r="G1" s="2124"/>
      <c r="H1" s="2124"/>
      <c r="I1" s="2124"/>
    </row>
    <row r="2" spans="1:9" ht="19" thickBot="1" x14ac:dyDescent="0.5">
      <c r="A2" s="2102" t="s">
        <v>1029</v>
      </c>
      <c r="B2" s="2039"/>
      <c r="C2" s="2039"/>
      <c r="D2" s="2039"/>
      <c r="E2" s="2039"/>
      <c r="F2" s="2039"/>
      <c r="G2" s="2039"/>
      <c r="H2" s="2039"/>
      <c r="I2" s="2039"/>
    </row>
    <row r="3" spans="1:9" ht="18" thickBot="1" x14ac:dyDescent="0.4">
      <c r="A3" s="2125" t="s">
        <v>0</v>
      </c>
      <c r="B3" s="2126"/>
      <c r="C3" s="2126"/>
      <c r="D3" s="2126"/>
      <c r="E3" s="2126"/>
      <c r="F3" s="2126"/>
      <c r="G3" s="2126"/>
      <c r="H3" s="2126"/>
      <c r="I3" s="2127"/>
    </row>
    <row r="4" spans="1:9" ht="29.5" thickBot="1" x14ac:dyDescent="0.4">
      <c r="A4" s="681" t="s">
        <v>831</v>
      </c>
      <c r="B4" s="682" t="s">
        <v>159</v>
      </c>
      <c r="C4" s="239" t="s">
        <v>4</v>
      </c>
      <c r="D4" s="683" t="s">
        <v>832</v>
      </c>
      <c r="E4" s="684" t="s">
        <v>6</v>
      </c>
      <c r="F4" s="683" t="s">
        <v>7</v>
      </c>
      <c r="G4" s="685" t="s">
        <v>25</v>
      </c>
      <c r="H4" s="239" t="s">
        <v>1418</v>
      </c>
      <c r="I4" s="238" t="s">
        <v>279</v>
      </c>
    </row>
    <row r="5" spans="1:9" ht="16" thickBot="1" x14ac:dyDescent="0.4">
      <c r="A5" s="2128" t="s">
        <v>830</v>
      </c>
      <c r="B5" s="2129"/>
      <c r="C5" s="2129"/>
      <c r="D5" s="2129"/>
      <c r="E5" s="2129"/>
      <c r="F5" s="2129"/>
      <c r="G5" s="2129"/>
      <c r="H5" s="2129"/>
      <c r="I5" s="2130"/>
    </row>
    <row r="6" spans="1:9" ht="15" thickBot="1" x14ac:dyDescent="0.4"/>
    <row r="7" spans="1:9" ht="87.5" thickBot="1" x14ac:dyDescent="0.4">
      <c r="A7" s="686">
        <v>1</v>
      </c>
      <c r="B7" s="687" t="s">
        <v>833</v>
      </c>
      <c r="C7" s="339" t="s">
        <v>834</v>
      </c>
      <c r="D7" s="340">
        <v>1</v>
      </c>
      <c r="E7" s="688">
        <v>6</v>
      </c>
      <c r="F7" s="689">
        <v>10</v>
      </c>
      <c r="G7" s="690">
        <f>F7/E7</f>
        <v>1.6666666666666667</v>
      </c>
      <c r="H7" s="690">
        <v>1.01</v>
      </c>
      <c r="I7" s="74" t="s">
        <v>1530</v>
      </c>
    </row>
    <row r="8" spans="1:9" ht="21.5" thickBot="1" x14ac:dyDescent="0.4">
      <c r="A8" s="691"/>
      <c r="B8" s="692"/>
      <c r="C8" s="91"/>
      <c r="D8" s="693"/>
      <c r="E8" s="694"/>
      <c r="F8" s="695"/>
      <c r="G8" s="696"/>
      <c r="H8" s="696"/>
      <c r="I8" s="1781">
        <f>AVERAGE(H7)</f>
        <v>1.01</v>
      </c>
    </row>
    <row r="9" spans="1:9" ht="16" thickBot="1" x14ac:dyDescent="0.4">
      <c r="A9" s="2131" t="s">
        <v>835</v>
      </c>
      <c r="B9" s="2132"/>
      <c r="C9" s="2132"/>
      <c r="D9" s="2132"/>
      <c r="E9" s="2132"/>
      <c r="F9" s="2132"/>
      <c r="G9" s="2132"/>
      <c r="H9" s="2132"/>
      <c r="I9" s="2133"/>
    </row>
    <row r="10" spans="1:9" ht="409.6" thickBot="1" x14ac:dyDescent="0.4">
      <c r="A10" s="686">
        <v>2</v>
      </c>
      <c r="B10" s="339" t="s">
        <v>836</v>
      </c>
      <c r="C10" s="321" t="s">
        <v>837</v>
      </c>
      <c r="D10" s="686">
        <v>1</v>
      </c>
      <c r="E10" s="697">
        <v>50</v>
      </c>
      <c r="F10" s="698">
        <v>23</v>
      </c>
      <c r="G10" s="690">
        <f>F10/E10</f>
        <v>0.46</v>
      </c>
      <c r="H10" s="690">
        <f>G10</f>
        <v>0.46</v>
      </c>
      <c r="I10" s="699" t="s">
        <v>838</v>
      </c>
    </row>
    <row r="11" spans="1:9" ht="189" thickBot="1" x14ac:dyDescent="0.4">
      <c r="A11" s="700"/>
      <c r="B11" s="45"/>
      <c r="C11" s="701"/>
      <c r="D11" s="700"/>
      <c r="E11" s="702"/>
      <c r="F11" s="701"/>
      <c r="G11" s="703"/>
      <c r="H11" s="690"/>
      <c r="I11" s="301" t="s">
        <v>839</v>
      </c>
    </row>
    <row r="12" spans="1:9" ht="290.5" thickBot="1" x14ac:dyDescent="0.4">
      <c r="A12" s="700"/>
      <c r="B12" s="704"/>
      <c r="C12" s="701"/>
      <c r="D12" s="700"/>
      <c r="E12" s="702"/>
      <c r="F12" s="701"/>
      <c r="G12" s="703"/>
      <c r="H12" s="690"/>
      <c r="I12" s="705" t="s">
        <v>840</v>
      </c>
    </row>
    <row r="13" spans="1:9" ht="15" thickBot="1" x14ac:dyDescent="0.4">
      <c r="A13" s="700"/>
      <c r="B13" s="704"/>
      <c r="C13" s="701"/>
      <c r="D13" s="700"/>
      <c r="E13" s="702"/>
      <c r="F13" s="701"/>
      <c r="G13" s="703"/>
      <c r="H13" s="1782"/>
      <c r="I13" s="1783">
        <f>AVERAGE(H10:H13)</f>
        <v>0.46</v>
      </c>
    </row>
    <row r="14" spans="1:9" ht="19" thickBot="1" x14ac:dyDescent="0.4">
      <c r="A14" s="2110" t="s">
        <v>841</v>
      </c>
      <c r="B14" s="2111"/>
      <c r="C14" s="2111"/>
      <c r="D14" s="2111"/>
      <c r="E14" s="2111"/>
      <c r="F14" s="2111"/>
      <c r="G14" s="2111"/>
      <c r="H14" s="2111"/>
      <c r="I14" s="2112"/>
    </row>
    <row r="15" spans="1:9" ht="290.5" thickBot="1" x14ac:dyDescent="0.4">
      <c r="A15" s="1784">
        <v>3</v>
      </c>
      <c r="B15" s="1785" t="s">
        <v>842</v>
      </c>
      <c r="C15" s="1785" t="s">
        <v>843</v>
      </c>
      <c r="D15" s="1786">
        <v>1</v>
      </c>
      <c r="E15" s="1786">
        <v>10</v>
      </c>
      <c r="F15" s="1784">
        <v>6</v>
      </c>
      <c r="G15" s="1787">
        <f>F15/E15</f>
        <v>0.6</v>
      </c>
      <c r="H15" s="690">
        <f>G15</f>
        <v>0.6</v>
      </c>
      <c r="I15" s="1788" t="s">
        <v>844</v>
      </c>
    </row>
    <row r="16" spans="1:9" ht="15" thickBot="1" x14ac:dyDescent="0.4">
      <c r="A16" s="701"/>
      <c r="B16" s="1789"/>
      <c r="C16" s="1789"/>
      <c r="D16" s="704"/>
      <c r="E16" s="704"/>
      <c r="F16" s="701"/>
      <c r="G16" s="703"/>
      <c r="H16" s="1782"/>
      <c r="I16" s="1790">
        <f>AVERAGE(H15)</f>
        <v>0.6</v>
      </c>
    </row>
    <row r="17" spans="1:9" ht="19" thickBot="1" x14ac:dyDescent="0.4">
      <c r="A17" s="2110" t="s">
        <v>845</v>
      </c>
      <c r="B17" s="2113"/>
      <c r="C17" s="2113"/>
      <c r="D17" s="2113"/>
      <c r="E17" s="2113"/>
      <c r="F17" s="2113"/>
      <c r="G17" s="2113"/>
      <c r="H17" s="2113"/>
      <c r="I17" s="2114"/>
    </row>
    <row r="18" spans="1:9" ht="58.5" thickBot="1" x14ac:dyDescent="0.4">
      <c r="A18" s="2115">
        <v>4</v>
      </c>
      <c r="B18" s="2117" t="s">
        <v>846</v>
      </c>
      <c r="C18" s="1793" t="s">
        <v>847</v>
      </c>
      <c r="D18" s="1791">
        <v>1</v>
      </c>
      <c r="E18" s="1791">
        <v>100</v>
      </c>
      <c r="F18" s="1794">
        <v>80</v>
      </c>
      <c r="G18" s="1795">
        <f>F18/E18</f>
        <v>0.8</v>
      </c>
      <c r="H18" s="690">
        <f t="shared" ref="H18:H19" si="0">G18</f>
        <v>0.8</v>
      </c>
      <c r="I18" s="1796" t="s">
        <v>848</v>
      </c>
    </row>
    <row r="19" spans="1:9" ht="58.5" thickBot="1" x14ac:dyDescent="0.4">
      <c r="A19" s="2116"/>
      <c r="B19" s="2118"/>
      <c r="C19" s="1797" t="s">
        <v>849</v>
      </c>
      <c r="D19" s="1786">
        <v>2</v>
      </c>
      <c r="E19" s="1786">
        <v>40</v>
      </c>
      <c r="F19" s="1784">
        <v>35</v>
      </c>
      <c r="G19" s="1787">
        <f>F19/E19</f>
        <v>0.875</v>
      </c>
      <c r="H19" s="690">
        <f t="shared" si="0"/>
        <v>0.875</v>
      </c>
      <c r="I19" s="1792" t="s">
        <v>850</v>
      </c>
    </row>
    <row r="20" spans="1:9" ht="15" thickBot="1" x14ac:dyDescent="0.4">
      <c r="A20" s="706" t="s">
        <v>851</v>
      </c>
      <c r="B20" s="707"/>
      <c r="C20" s="708" t="s">
        <v>25</v>
      </c>
      <c r="D20" s="707"/>
      <c r="E20" s="707"/>
      <c r="F20" s="707"/>
      <c r="G20" s="709"/>
      <c r="H20" s="1798"/>
      <c r="I20" s="1799">
        <f>AVERAGE(H18:H19)</f>
        <v>0.83750000000000002</v>
      </c>
    </row>
    <row r="21" spans="1:9" ht="15" thickBot="1" x14ac:dyDescent="0.4">
      <c r="A21" s="1800"/>
      <c r="B21" s="711"/>
      <c r="C21" s="711"/>
      <c r="D21" s="711"/>
      <c r="E21" s="711"/>
      <c r="F21" s="711"/>
      <c r="G21" s="1801"/>
      <c r="H21" s="1801"/>
      <c r="I21" s="1802"/>
    </row>
    <row r="22" spans="1:9" ht="19" thickBot="1" x14ac:dyDescent="0.5">
      <c r="A22" s="2119" t="s">
        <v>1433</v>
      </c>
      <c r="B22" s="2120"/>
      <c r="C22" s="2120"/>
      <c r="D22" s="2120"/>
      <c r="E22" s="2120"/>
      <c r="F22" s="2120"/>
      <c r="G22" s="2120"/>
      <c r="H22" s="2120"/>
      <c r="I22" s="2121"/>
    </row>
    <row r="23" spans="1:9" ht="44" thickBot="1" x14ac:dyDescent="0.4">
      <c r="A23" s="1803">
        <v>5</v>
      </c>
      <c r="B23" s="2122" t="s">
        <v>1434</v>
      </c>
      <c r="C23" s="1804" t="s">
        <v>853</v>
      </c>
      <c r="D23" s="1803">
        <v>1</v>
      </c>
      <c r="E23" s="1803">
        <v>12</v>
      </c>
      <c r="F23" s="1803">
        <v>11</v>
      </c>
      <c r="G23" s="1795">
        <f t="shared" ref="G23:G25" si="1">F23/E23</f>
        <v>0.91666666666666663</v>
      </c>
      <c r="H23" s="690">
        <f t="shared" ref="H23:H24" si="2">G23</f>
        <v>0.91666666666666663</v>
      </c>
      <c r="I23" s="1805" t="s">
        <v>854</v>
      </c>
    </row>
    <row r="24" spans="1:9" ht="102" thickBot="1" x14ac:dyDescent="0.4">
      <c r="A24" s="1803">
        <v>6</v>
      </c>
      <c r="B24" s="2123"/>
      <c r="C24" s="1806" t="s">
        <v>855</v>
      </c>
      <c r="D24" s="1803">
        <v>2</v>
      </c>
      <c r="E24" s="1803">
        <v>15</v>
      </c>
      <c r="F24" s="1803"/>
      <c r="G24" s="1795">
        <f t="shared" si="1"/>
        <v>0</v>
      </c>
      <c r="H24" s="690">
        <f t="shared" si="2"/>
        <v>0</v>
      </c>
      <c r="I24" s="1161" t="s">
        <v>856</v>
      </c>
    </row>
    <row r="25" spans="1:9" ht="58" x14ac:dyDescent="0.35">
      <c r="A25" s="1807">
        <v>7</v>
      </c>
      <c r="B25" s="2123"/>
      <c r="C25" s="1785" t="s">
        <v>857</v>
      </c>
      <c r="D25" s="1807">
        <v>3</v>
      </c>
      <c r="E25" s="1807">
        <v>14</v>
      </c>
      <c r="F25" s="1807">
        <v>14</v>
      </c>
      <c r="G25" s="1787">
        <f t="shared" si="1"/>
        <v>1</v>
      </c>
      <c r="H25" s="1787">
        <f>G25</f>
        <v>1</v>
      </c>
      <c r="I25" s="1792" t="s">
        <v>858</v>
      </c>
    </row>
    <row r="26" spans="1:9" x14ac:dyDescent="0.35">
      <c r="A26" s="1808"/>
      <c r="B26" s="2123"/>
      <c r="C26" s="1767"/>
      <c r="D26" s="1548"/>
      <c r="E26" s="1548"/>
      <c r="F26" s="1548"/>
      <c r="G26" s="1809"/>
      <c r="H26" s="1809"/>
      <c r="I26" s="1810"/>
    </row>
    <row r="27" spans="1:9" ht="15" thickBot="1" x14ac:dyDescent="0.4">
      <c r="A27" s="1808"/>
      <c r="B27" s="1767"/>
      <c r="C27" s="1767"/>
      <c r="D27" s="1548"/>
      <c r="E27" s="1548"/>
      <c r="F27" s="1548"/>
      <c r="G27" s="1809"/>
      <c r="H27" s="1809"/>
      <c r="I27" s="1811">
        <f>AVERAGE(H23:I25)</f>
        <v>0.63888888888888884</v>
      </c>
    </row>
    <row r="28" spans="1:9" ht="15" thickBot="1" x14ac:dyDescent="0.4">
      <c r="A28" s="712"/>
      <c r="B28" s="713"/>
      <c r="C28" s="708" t="s">
        <v>25</v>
      </c>
      <c r="D28" s="713"/>
      <c r="E28" s="713"/>
      <c r="F28" s="713"/>
      <c r="G28" s="714"/>
      <c r="H28" s="1812"/>
      <c r="I28" s="710"/>
    </row>
    <row r="29" spans="1:9" ht="15" thickBot="1" x14ac:dyDescent="0.4">
      <c r="A29" s="1325"/>
      <c r="B29" s="1326"/>
      <c r="C29" s="1327" t="s">
        <v>1087</v>
      </c>
      <c r="D29" s="1326"/>
      <c r="E29" s="1326"/>
      <c r="F29" s="1326"/>
      <c r="G29" s="1328" t="s">
        <v>636</v>
      </c>
      <c r="H29" s="1813">
        <f>AVERAGE(H7:H28)</f>
        <v>0.70770833333333338</v>
      </c>
      <c r="I29" s="1329"/>
    </row>
  </sheetData>
  <mergeCells count="11">
    <mergeCell ref="B23:B26"/>
    <mergeCell ref="A1:I1"/>
    <mergeCell ref="A2:I2"/>
    <mergeCell ref="A3:I3"/>
    <mergeCell ref="A5:I5"/>
    <mergeCell ref="A9:I9"/>
    <mergeCell ref="A14:I14"/>
    <mergeCell ref="A17:I17"/>
    <mergeCell ref="A18:A19"/>
    <mergeCell ref="B18:B19"/>
    <mergeCell ref="A22:I22"/>
  </mergeCells>
  <printOptions horizontalCentered="1"/>
  <pageMargins left="0.51181102362204722" right="0.51181102362204722" top="0.55118110236220474" bottom="0.55118110236220474" header="0.31496062992125984" footer="0.31496062992125984"/>
  <pageSetup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4EB34-0B0C-4383-BFC7-F2BC56A99B1D}">
  <sheetPr>
    <tabColor theme="7" tint="0.39997558519241921"/>
  </sheetPr>
  <dimension ref="A1:J41"/>
  <sheetViews>
    <sheetView topLeftCell="A4" zoomScale="77" zoomScaleNormal="100" workbookViewId="0">
      <selection activeCell="A4" sqref="A4:I4"/>
    </sheetView>
  </sheetViews>
  <sheetFormatPr defaultRowHeight="14.5" x14ac:dyDescent="0.35"/>
  <cols>
    <col min="2" max="2" width="36.54296875" customWidth="1"/>
    <col min="3" max="3" width="33.1796875" customWidth="1"/>
    <col min="4" max="4" width="10" customWidth="1"/>
    <col min="5" max="5" width="9.54296875" customWidth="1"/>
    <col min="6" max="6" width="10" customWidth="1"/>
    <col min="7" max="8" width="14.453125" customWidth="1"/>
    <col min="9" max="9" width="24" customWidth="1"/>
  </cols>
  <sheetData>
    <row r="1" spans="1:10" ht="20" x14ac:dyDescent="0.35">
      <c r="A1" s="2147" t="s">
        <v>788</v>
      </c>
      <c r="B1" s="2148"/>
      <c r="C1" s="2148"/>
      <c r="D1" s="2148"/>
      <c r="E1" s="2148"/>
      <c r="F1" s="2148"/>
      <c r="G1" s="2148"/>
      <c r="H1" s="2148"/>
      <c r="I1" s="2148"/>
    </row>
    <row r="2" spans="1:10" ht="18" customHeight="1" thickBot="1" x14ac:dyDescent="0.5">
      <c r="A2" s="2102" t="s">
        <v>1029</v>
      </c>
      <c r="B2" s="2039"/>
      <c r="C2" s="2039"/>
      <c r="D2" s="2039"/>
      <c r="E2" s="2039"/>
      <c r="F2" s="2039"/>
      <c r="G2" s="2039"/>
      <c r="H2" s="2039"/>
      <c r="I2" s="2039"/>
    </row>
    <row r="3" spans="1:10" ht="40" customHeight="1" thickBot="1" x14ac:dyDescent="0.4">
      <c r="A3" s="613" t="s">
        <v>2</v>
      </c>
      <c r="B3" s="614" t="s">
        <v>159</v>
      </c>
      <c r="C3" s="615" t="s">
        <v>4</v>
      </c>
      <c r="D3" s="616" t="s">
        <v>789</v>
      </c>
      <c r="E3" s="617" t="s">
        <v>6</v>
      </c>
      <c r="F3" s="1339" t="s">
        <v>790</v>
      </c>
      <c r="G3" s="1340" t="s">
        <v>25</v>
      </c>
      <c r="H3" s="1341" t="s">
        <v>1418</v>
      </c>
      <c r="I3" s="618" t="s">
        <v>791</v>
      </c>
    </row>
    <row r="4" spans="1:10" ht="15.5" thickBot="1" x14ac:dyDescent="0.4">
      <c r="A4" s="2149" t="s">
        <v>0</v>
      </c>
      <c r="B4" s="2150"/>
      <c r="C4" s="2150"/>
      <c r="D4" s="2150"/>
      <c r="E4" s="2150"/>
      <c r="F4" s="2150"/>
      <c r="G4" s="2150"/>
      <c r="H4" s="2150"/>
      <c r="I4" s="2151"/>
    </row>
    <row r="5" spans="1:10" ht="15.5" x14ac:dyDescent="0.35">
      <c r="A5" s="2152" t="s">
        <v>939</v>
      </c>
      <c r="B5" s="2153"/>
      <c r="C5" s="2153"/>
      <c r="D5" s="2153"/>
      <c r="E5" s="2153"/>
      <c r="F5" s="2153"/>
      <c r="G5" s="2153"/>
      <c r="H5" s="2153"/>
      <c r="I5" s="2154"/>
    </row>
    <row r="6" spans="1:10" x14ac:dyDescent="0.35">
      <c r="A6" s="1757"/>
      <c r="B6" s="1757"/>
      <c r="C6" s="1757"/>
      <c r="D6" s="1757"/>
      <c r="E6" s="1757"/>
      <c r="F6" s="1757"/>
      <c r="G6" s="1757"/>
      <c r="H6" s="1757"/>
      <c r="I6" s="1757"/>
    </row>
    <row r="7" spans="1:10" ht="31" x14ac:dyDescent="0.35">
      <c r="A7" s="2155">
        <v>1</v>
      </c>
      <c r="B7" s="2157" t="s">
        <v>792</v>
      </c>
      <c r="C7" s="1751" t="s">
        <v>1188</v>
      </c>
      <c r="D7" s="1752">
        <v>1</v>
      </c>
      <c r="E7" s="1753">
        <v>25</v>
      </c>
      <c r="F7" s="1754">
        <v>25</v>
      </c>
      <c r="G7" s="1755">
        <f t="shared" ref="G7:G12" si="0">F7/E7</f>
        <v>1</v>
      </c>
      <c r="H7" s="1755">
        <f>G7</f>
        <v>1</v>
      </c>
      <c r="I7" s="1756" t="s">
        <v>793</v>
      </c>
    </row>
    <row r="8" spans="1:10" ht="46.5" x14ac:dyDescent="0.35">
      <c r="A8" s="2088"/>
      <c r="B8" s="2158"/>
      <c r="C8" s="619" t="s">
        <v>794</v>
      </c>
      <c r="D8" s="620">
        <v>2</v>
      </c>
      <c r="E8" s="621">
        <v>33</v>
      </c>
      <c r="F8" s="1111">
        <v>42</v>
      </c>
      <c r="G8" s="1112">
        <f t="shared" si="0"/>
        <v>1.2727272727272727</v>
      </c>
      <c r="H8" s="1331">
        <v>1.01</v>
      </c>
      <c r="I8" s="624" t="s">
        <v>795</v>
      </c>
    </row>
    <row r="9" spans="1:10" ht="39" x14ac:dyDescent="0.35">
      <c r="A9" s="2088"/>
      <c r="B9" s="2158"/>
      <c r="C9" s="619" t="s">
        <v>796</v>
      </c>
      <c r="D9" s="620">
        <v>3</v>
      </c>
      <c r="E9" s="621">
        <v>100</v>
      </c>
      <c r="F9" s="622"/>
      <c r="G9" s="720" t="s">
        <v>1420</v>
      </c>
      <c r="H9" s="1331" t="str">
        <f t="shared" ref="H9:H12" si="1">G9</f>
        <v>NA</v>
      </c>
      <c r="I9" s="624" t="s">
        <v>660</v>
      </c>
    </row>
    <row r="10" spans="1:10" ht="26" x14ac:dyDescent="0.35">
      <c r="A10" s="2088"/>
      <c r="B10" s="2158"/>
      <c r="C10" s="625" t="s">
        <v>797</v>
      </c>
      <c r="D10" s="620">
        <v>4</v>
      </c>
      <c r="E10" s="621">
        <v>70</v>
      </c>
      <c r="F10" s="626">
        <v>24</v>
      </c>
      <c r="G10" s="1113" t="s">
        <v>1420</v>
      </c>
      <c r="H10" s="1331" t="str">
        <f t="shared" si="1"/>
        <v>NA</v>
      </c>
      <c r="I10" s="624" t="s">
        <v>660</v>
      </c>
    </row>
    <row r="11" spans="1:10" ht="39" x14ac:dyDescent="0.35">
      <c r="A11" s="2088"/>
      <c r="B11" s="2158"/>
      <c r="C11" s="625" t="s">
        <v>798</v>
      </c>
      <c r="D11" s="620">
        <v>5</v>
      </c>
      <c r="E11" s="621">
        <v>4</v>
      </c>
      <c r="F11" s="622">
        <v>0</v>
      </c>
      <c r="G11" s="623">
        <f t="shared" si="0"/>
        <v>0</v>
      </c>
      <c r="H11" s="1331">
        <f t="shared" si="1"/>
        <v>0</v>
      </c>
      <c r="I11" s="624"/>
    </row>
    <row r="12" spans="1:10" ht="26.5" thickBot="1" x14ac:dyDescent="0.4">
      <c r="A12" s="2156"/>
      <c r="B12" s="2159"/>
      <c r="C12" s="628" t="s">
        <v>799</v>
      </c>
      <c r="D12" s="629">
        <v>6</v>
      </c>
      <c r="E12" s="630">
        <v>90</v>
      </c>
      <c r="F12" s="631">
        <v>40</v>
      </c>
      <c r="G12" s="632">
        <f t="shared" si="0"/>
        <v>0.44444444444444442</v>
      </c>
      <c r="H12" s="1331">
        <f t="shared" si="1"/>
        <v>0.44444444444444442</v>
      </c>
      <c r="I12" s="633" t="s">
        <v>800</v>
      </c>
    </row>
    <row r="13" spans="1:10" ht="16" thickBot="1" x14ac:dyDescent="0.4">
      <c r="A13" s="634"/>
      <c r="B13" s="635"/>
      <c r="C13" s="636" t="s">
        <v>25</v>
      </c>
      <c r="D13" s="637"/>
      <c r="E13" s="638"/>
      <c r="F13" s="639"/>
      <c r="G13" s="640"/>
      <c r="H13" s="1333"/>
      <c r="I13" s="1330">
        <f>AVERAGE(H7:H12)</f>
        <v>0.61361111111111111</v>
      </c>
      <c r="J13" s="1317">
        <f>I13</f>
        <v>0.61361111111111111</v>
      </c>
    </row>
    <row r="14" spans="1:10" ht="16" thickBot="1" x14ac:dyDescent="0.4">
      <c r="A14" s="2138" t="s">
        <v>801</v>
      </c>
      <c r="B14" s="2139"/>
      <c r="C14" s="2139"/>
      <c r="D14" s="2139"/>
      <c r="E14" s="2139"/>
      <c r="F14" s="2139"/>
      <c r="G14" s="2139"/>
      <c r="H14" s="2139"/>
      <c r="I14" s="2140"/>
    </row>
    <row r="15" spans="1:10" ht="58" x14ac:dyDescent="0.35">
      <c r="A15" s="2141">
        <v>2</v>
      </c>
      <c r="B15" s="2143" t="s">
        <v>802</v>
      </c>
      <c r="C15" s="641" t="s">
        <v>803</v>
      </c>
      <c r="D15" s="620">
        <v>1</v>
      </c>
      <c r="E15" s="621">
        <v>7</v>
      </c>
      <c r="F15" s="622">
        <v>3</v>
      </c>
      <c r="G15" s="623">
        <f t="shared" ref="G15:G19" si="2">F15/E15</f>
        <v>0.42857142857142855</v>
      </c>
      <c r="H15" s="1332">
        <f>G15</f>
        <v>0.42857142857142855</v>
      </c>
      <c r="I15" s="1114" t="s">
        <v>1435</v>
      </c>
    </row>
    <row r="16" spans="1:10" ht="58" x14ac:dyDescent="0.35">
      <c r="A16" s="2142"/>
      <c r="B16" s="2143"/>
      <c r="C16" s="642" t="s">
        <v>804</v>
      </c>
      <c r="D16" s="620">
        <v>2</v>
      </c>
      <c r="E16" s="621">
        <v>75</v>
      </c>
      <c r="F16" s="622">
        <v>0</v>
      </c>
      <c r="G16" s="623">
        <f t="shared" si="2"/>
        <v>0</v>
      </c>
      <c r="H16" s="1332">
        <f t="shared" ref="H16:H19" si="3">G16</f>
        <v>0</v>
      </c>
      <c r="I16" s="624" t="s">
        <v>805</v>
      </c>
    </row>
    <row r="17" spans="1:10" ht="43.5" x14ac:dyDescent="0.35">
      <c r="A17" s="2142"/>
      <c r="B17" s="2143"/>
      <c r="C17" s="642" t="s">
        <v>806</v>
      </c>
      <c r="D17" s="620">
        <v>3</v>
      </c>
      <c r="E17" s="621">
        <v>2</v>
      </c>
      <c r="F17" s="622">
        <v>0</v>
      </c>
      <c r="G17" s="623">
        <f t="shared" si="2"/>
        <v>0</v>
      </c>
      <c r="H17" s="1332">
        <f t="shared" si="3"/>
        <v>0</v>
      </c>
      <c r="I17" s="624" t="s">
        <v>807</v>
      </c>
    </row>
    <row r="18" spans="1:10" ht="58" x14ac:dyDescent="0.35">
      <c r="A18" s="2142">
        <v>3</v>
      </c>
      <c r="B18" s="2145" t="s">
        <v>808</v>
      </c>
      <c r="C18" s="642" t="s">
        <v>809</v>
      </c>
      <c r="D18" s="620">
        <v>4</v>
      </c>
      <c r="E18" s="621">
        <v>6</v>
      </c>
      <c r="F18" s="622">
        <v>2</v>
      </c>
      <c r="G18" s="623">
        <f t="shared" si="2"/>
        <v>0.33333333333333331</v>
      </c>
      <c r="H18" s="1332">
        <f t="shared" si="3"/>
        <v>0.33333333333333331</v>
      </c>
      <c r="I18" s="1114" t="s">
        <v>1189</v>
      </c>
    </row>
    <row r="19" spans="1:10" ht="109" thickBot="1" x14ac:dyDescent="0.4">
      <c r="A19" s="2144"/>
      <c r="B19" s="2146"/>
      <c r="C19" s="643" t="s">
        <v>810</v>
      </c>
      <c r="D19" s="629">
        <v>5</v>
      </c>
      <c r="E19" s="630">
        <v>90</v>
      </c>
      <c r="F19" s="644">
        <v>80</v>
      </c>
      <c r="G19" s="627">
        <f t="shared" si="2"/>
        <v>0.88888888888888884</v>
      </c>
      <c r="H19" s="1332">
        <f t="shared" si="3"/>
        <v>0.88888888888888884</v>
      </c>
      <c r="I19" s="633" t="s">
        <v>811</v>
      </c>
    </row>
    <row r="20" spans="1:10" ht="15" thickBot="1" x14ac:dyDescent="0.4">
      <c r="A20" s="645"/>
      <c r="B20" s="646"/>
      <c r="C20" s="647" t="s">
        <v>25</v>
      </c>
      <c r="D20" s="648"/>
      <c r="E20" s="646"/>
      <c r="F20" s="646"/>
      <c r="G20" s="649">
        <f>AVERAGE(G15:G19)</f>
        <v>0.33015873015873015</v>
      </c>
      <c r="H20" s="1334"/>
      <c r="I20" s="1342">
        <f>AVERAGE(H15:H19)</f>
        <v>0.33015873015873015</v>
      </c>
      <c r="J20" s="1317">
        <f>I20</f>
        <v>0.33015873015873015</v>
      </c>
    </row>
    <row r="21" spans="1:10" ht="16" thickBot="1" x14ac:dyDescent="0.4">
      <c r="A21" s="650" t="s">
        <v>812</v>
      </c>
      <c r="B21" s="651"/>
      <c r="C21" s="651"/>
      <c r="D21" s="652"/>
      <c r="E21" s="651"/>
      <c r="F21" s="651"/>
      <c r="G21" s="651"/>
      <c r="H21" s="651"/>
      <c r="I21" s="653"/>
    </row>
    <row r="22" spans="1:10" ht="43.5" x14ac:dyDescent="0.35">
      <c r="A22" s="2134">
        <v>4</v>
      </c>
      <c r="B22" s="2136" t="s">
        <v>813</v>
      </c>
      <c r="C22" s="654" t="s">
        <v>814</v>
      </c>
      <c r="D22" s="655">
        <v>1</v>
      </c>
      <c r="E22" s="656">
        <v>4</v>
      </c>
      <c r="F22" s="657">
        <v>4</v>
      </c>
      <c r="G22" s="658">
        <f t="shared" ref="G22:G30" si="4">F22/E22</f>
        <v>1</v>
      </c>
      <c r="H22" s="1335">
        <f>G22</f>
        <v>1</v>
      </c>
      <c r="I22" s="659" t="s">
        <v>815</v>
      </c>
    </row>
    <row r="23" spans="1:10" ht="44" thickBot="1" x14ac:dyDescent="0.4">
      <c r="A23" s="2135"/>
      <c r="B23" s="2137"/>
      <c r="C23" s="660" t="s">
        <v>816</v>
      </c>
      <c r="D23" s="661">
        <v>2</v>
      </c>
      <c r="E23" s="662">
        <v>7</v>
      </c>
      <c r="F23" s="663">
        <v>5</v>
      </c>
      <c r="G23" s="664">
        <f t="shared" si="4"/>
        <v>0.7142857142857143</v>
      </c>
      <c r="H23" s="664">
        <f>G23</f>
        <v>0.7142857142857143</v>
      </c>
      <c r="I23" s="665" t="s">
        <v>817</v>
      </c>
    </row>
    <row r="24" spans="1:10" ht="16" thickBot="1" x14ac:dyDescent="0.4">
      <c r="A24" s="666"/>
      <c r="B24" s="667"/>
      <c r="C24" s="668" t="s">
        <v>25</v>
      </c>
      <c r="D24" s="669"/>
      <c r="E24" s="670"/>
      <c r="F24" s="670"/>
      <c r="G24" s="671" t="s">
        <v>636</v>
      </c>
      <c r="H24" s="1336"/>
      <c r="I24" s="1343">
        <f>AVERAGE(H22:H23)</f>
        <v>0.85714285714285721</v>
      </c>
      <c r="J24" s="1317">
        <f>I24</f>
        <v>0.85714285714285721</v>
      </c>
    </row>
    <row r="25" spans="1:10" ht="16" thickBot="1" x14ac:dyDescent="0.4">
      <c r="A25" s="2138" t="s">
        <v>818</v>
      </c>
      <c r="B25" s="2139"/>
      <c r="C25" s="2139"/>
      <c r="D25" s="2139"/>
      <c r="E25" s="2139"/>
      <c r="F25" s="2139"/>
      <c r="G25" s="2139"/>
      <c r="H25" s="2139"/>
      <c r="I25" s="2140"/>
    </row>
    <row r="26" spans="1:10" ht="29" x14ac:dyDescent="0.35">
      <c r="A26" s="2160">
        <v>5</v>
      </c>
      <c r="B26" s="2162" t="s">
        <v>819</v>
      </c>
      <c r="C26" s="672" t="s">
        <v>820</v>
      </c>
      <c r="D26" s="673">
        <v>1</v>
      </c>
      <c r="E26" s="673">
        <v>20</v>
      </c>
      <c r="F26" s="673">
        <v>16</v>
      </c>
      <c r="G26" s="46">
        <f t="shared" si="4"/>
        <v>0.8</v>
      </c>
      <c r="H26" s="1337">
        <f>G26</f>
        <v>0.8</v>
      </c>
      <c r="I26" s="674" t="s">
        <v>821</v>
      </c>
    </row>
    <row r="27" spans="1:10" ht="72.5" x14ac:dyDescent="0.35">
      <c r="A27" s="2161"/>
      <c r="B27" s="2163"/>
      <c r="C27" s="672" t="s">
        <v>822</v>
      </c>
      <c r="D27" s="673">
        <v>2</v>
      </c>
      <c r="E27" s="673">
        <v>70</v>
      </c>
      <c r="F27" s="673">
        <v>37</v>
      </c>
      <c r="G27" s="46">
        <f t="shared" si="4"/>
        <v>0.52857142857142858</v>
      </c>
      <c r="H27" s="1337">
        <f t="shared" ref="H27:H30" si="5">G27</f>
        <v>0.52857142857142858</v>
      </c>
      <c r="I27" s="56" t="s">
        <v>823</v>
      </c>
    </row>
    <row r="28" spans="1:10" ht="72.5" x14ac:dyDescent="0.35">
      <c r="A28" s="2161"/>
      <c r="B28" s="2163"/>
      <c r="C28" s="672" t="s">
        <v>824</v>
      </c>
      <c r="D28" s="673">
        <v>3</v>
      </c>
      <c r="E28" s="673">
        <v>15</v>
      </c>
      <c r="F28" s="673">
        <v>11</v>
      </c>
      <c r="G28" s="46">
        <f t="shared" si="4"/>
        <v>0.73333333333333328</v>
      </c>
      <c r="H28" s="1337">
        <f t="shared" si="5"/>
        <v>0.73333333333333328</v>
      </c>
      <c r="I28" s="56" t="s">
        <v>823</v>
      </c>
    </row>
    <row r="29" spans="1:10" ht="72.5" x14ac:dyDescent="0.35">
      <c r="A29" s="2160">
        <v>6</v>
      </c>
      <c r="B29" s="2164" t="s">
        <v>825</v>
      </c>
      <c r="C29" s="675" t="s">
        <v>826</v>
      </c>
      <c r="D29" s="657">
        <v>4</v>
      </c>
      <c r="E29" s="676">
        <v>20</v>
      </c>
      <c r="F29" s="8">
        <v>17</v>
      </c>
      <c r="G29" s="600">
        <f t="shared" si="4"/>
        <v>0.85</v>
      </c>
      <c r="H29" s="1337">
        <f t="shared" si="5"/>
        <v>0.85</v>
      </c>
      <c r="I29" s="56" t="s">
        <v>823</v>
      </c>
    </row>
    <row r="30" spans="1:10" ht="43.5" x14ac:dyDescent="0.35">
      <c r="A30" s="2161"/>
      <c r="B30" s="2165"/>
      <c r="C30" s="677" t="s">
        <v>827</v>
      </c>
      <c r="D30" s="673">
        <v>5</v>
      </c>
      <c r="E30" s="678">
        <v>15</v>
      </c>
      <c r="F30" s="28">
        <v>13</v>
      </c>
      <c r="G30" s="46">
        <f t="shared" si="4"/>
        <v>0.8666666666666667</v>
      </c>
      <c r="H30" s="1337">
        <f t="shared" si="5"/>
        <v>0.8666666666666667</v>
      </c>
      <c r="I30" s="56" t="s">
        <v>828</v>
      </c>
    </row>
    <row r="31" spans="1:10" ht="18" x14ac:dyDescent="0.35">
      <c r="A31" s="679"/>
      <c r="B31" s="623"/>
      <c r="C31" s="680" t="s">
        <v>25</v>
      </c>
      <c r="D31" s="2169"/>
      <c r="E31" s="2170"/>
      <c r="F31" s="2171"/>
      <c r="G31" s="680"/>
      <c r="H31" s="1338"/>
      <c r="I31" s="623">
        <f>AVERAGE(H26:H30)</f>
        <v>0.75571428571428578</v>
      </c>
      <c r="J31" s="1317">
        <f>I31</f>
        <v>0.75571428571428578</v>
      </c>
    </row>
    <row r="32" spans="1:10" ht="18" x14ac:dyDescent="0.35">
      <c r="A32" s="1344"/>
      <c r="B32" s="1345"/>
      <c r="C32" s="1346" t="s">
        <v>1087</v>
      </c>
      <c r="D32" s="2166"/>
      <c r="E32" s="2167"/>
      <c r="F32" s="2168"/>
      <c r="G32" s="1346"/>
      <c r="H32" s="1347">
        <f>AVERAGE(H7:H31)</f>
        <v>0.5998809523809524</v>
      </c>
      <c r="I32" s="1345"/>
      <c r="J32" s="881">
        <f>AVERAGE(J7:J31)</f>
        <v>0.63915674603174599</v>
      </c>
    </row>
    <row r="34" spans="3:8" x14ac:dyDescent="0.35">
      <c r="C34" t="s">
        <v>1191</v>
      </c>
    </row>
    <row r="35" spans="3:8" x14ac:dyDescent="0.35">
      <c r="C35" t="s">
        <v>1190</v>
      </c>
    </row>
    <row r="41" spans="3:8" x14ac:dyDescent="0.35">
      <c r="H41" t="s">
        <v>1527</v>
      </c>
    </row>
  </sheetData>
  <mergeCells count="20">
    <mergeCell ref="A26:A28"/>
    <mergeCell ref="B26:B28"/>
    <mergeCell ref="A29:A30"/>
    <mergeCell ref="B29:B30"/>
    <mergeCell ref="D32:F32"/>
    <mergeCell ref="D31:F31"/>
    <mergeCell ref="A1:I1"/>
    <mergeCell ref="A2:I2"/>
    <mergeCell ref="A4:I4"/>
    <mergeCell ref="A5:I5"/>
    <mergeCell ref="A7:A12"/>
    <mergeCell ref="B7:B12"/>
    <mergeCell ref="A22:A23"/>
    <mergeCell ref="B22:B23"/>
    <mergeCell ref="A25:I25"/>
    <mergeCell ref="A14:I14"/>
    <mergeCell ref="A15:A17"/>
    <mergeCell ref="B15:B17"/>
    <mergeCell ref="A18:A19"/>
    <mergeCell ref="B18:B19"/>
  </mergeCells>
  <printOptions horizontalCentered="1"/>
  <pageMargins left="0.51181102362204722" right="0.51181102362204722" top="0.55118110236220474" bottom="0.55118110236220474" header="0.31496062992125984" footer="0.31496062992125984"/>
  <pageSetup scale="78" orientation="landscape" r:id="rId1"/>
  <rowBreaks count="2" manualBreakCount="2">
    <brk id="18" max="8" man="1"/>
    <brk id="3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B4AB-ABB1-4450-8621-9233733255FC}">
  <sheetPr>
    <tabColor rgb="FFFF0000"/>
  </sheetPr>
  <dimension ref="A1:J20"/>
  <sheetViews>
    <sheetView topLeftCell="A9" zoomScaleNormal="100" workbookViewId="0">
      <selection activeCell="G11" sqref="G11"/>
    </sheetView>
  </sheetViews>
  <sheetFormatPr defaultRowHeight="14.5" x14ac:dyDescent="0.35"/>
  <cols>
    <col min="1" max="1" width="6.7265625" customWidth="1"/>
    <col min="2" max="2" width="25" customWidth="1"/>
    <col min="3" max="3" width="33.26953125" customWidth="1"/>
    <col min="4" max="5" width="7.81640625" customWidth="1"/>
    <col min="6" max="6" width="11.7265625" customWidth="1"/>
    <col min="8" max="9" width="11" customWidth="1"/>
    <col min="10" max="10" width="40" customWidth="1"/>
  </cols>
  <sheetData>
    <row r="1" spans="1:10" ht="18.5" x14ac:dyDescent="0.45">
      <c r="A1" s="2027" t="s">
        <v>940</v>
      </c>
      <c r="B1" s="2027"/>
      <c r="C1" s="2027"/>
      <c r="D1" s="2027"/>
      <c r="E1" s="2027"/>
      <c r="F1" s="2027"/>
      <c r="G1" s="2027"/>
      <c r="H1" s="2027"/>
      <c r="I1" s="2027"/>
      <c r="J1" s="2027"/>
    </row>
    <row r="2" spans="1:10" ht="19" thickBot="1" x14ac:dyDescent="0.5">
      <c r="A2" s="2179" t="s">
        <v>1029</v>
      </c>
      <c r="B2" s="2179"/>
      <c r="C2" s="2179"/>
      <c r="D2" s="2179"/>
      <c r="E2" s="2179"/>
      <c r="F2" s="2179"/>
      <c r="G2" s="2179"/>
      <c r="H2" s="2179"/>
      <c r="I2" s="2179"/>
      <c r="J2" s="2179"/>
    </row>
    <row r="3" spans="1:10" ht="15" thickBot="1" x14ac:dyDescent="0.4">
      <c r="A3" s="2180" t="s">
        <v>779</v>
      </c>
      <c r="B3" s="2181"/>
      <c r="C3" s="2181"/>
      <c r="D3" s="2181"/>
      <c r="E3" s="2181"/>
      <c r="F3" s="2181"/>
      <c r="G3" s="2181"/>
      <c r="H3" s="2181"/>
      <c r="I3" s="2181"/>
      <c r="J3" s="2182"/>
    </row>
    <row r="4" spans="1:10" ht="38.5" customHeight="1" thickBot="1" x14ac:dyDescent="0.4">
      <c r="A4" s="1758" t="s">
        <v>276</v>
      </c>
      <c r="B4" s="1759" t="s">
        <v>159</v>
      </c>
      <c r="C4" s="1760" t="s">
        <v>4</v>
      </c>
      <c r="D4" s="1761" t="s">
        <v>161</v>
      </c>
      <c r="E4" s="1762" t="s">
        <v>1025</v>
      </c>
      <c r="F4" s="1762" t="s">
        <v>6</v>
      </c>
      <c r="G4" s="1763" t="s">
        <v>162</v>
      </c>
      <c r="H4" s="1764" t="s">
        <v>25</v>
      </c>
      <c r="I4" s="1764" t="s">
        <v>1418</v>
      </c>
      <c r="J4" s="1765" t="s">
        <v>279</v>
      </c>
    </row>
    <row r="5" spans="1:10" ht="15.5" x14ac:dyDescent="0.35">
      <c r="A5" s="939" t="s">
        <v>1082</v>
      </c>
      <c r="B5" s="939"/>
      <c r="C5" s="939"/>
      <c r="D5" s="939"/>
      <c r="E5" s="939"/>
      <c r="F5" s="939"/>
      <c r="G5" s="939"/>
      <c r="H5" s="939"/>
      <c r="I5" s="939"/>
      <c r="J5" s="939"/>
    </row>
    <row r="6" spans="1:10" ht="15" thickBot="1" x14ac:dyDescent="0.4"/>
    <row r="7" spans="1:10" ht="30.75" customHeight="1" x14ac:dyDescent="0.35">
      <c r="A7" s="2172" t="s">
        <v>780</v>
      </c>
      <c r="B7" s="2173"/>
      <c r="C7" s="2173"/>
      <c r="D7" s="2173"/>
      <c r="E7" s="2173"/>
      <c r="F7" s="2173"/>
      <c r="G7" s="2173"/>
      <c r="H7" s="2173"/>
      <c r="I7" s="2173"/>
      <c r="J7" s="2174"/>
    </row>
    <row r="8" spans="1:10" x14ac:dyDescent="0.35">
      <c r="A8" s="1757"/>
      <c r="B8" s="1757"/>
      <c r="C8" s="1757"/>
      <c r="D8" s="1757"/>
      <c r="E8" s="1757"/>
      <c r="F8" s="1757"/>
      <c r="G8" s="1757"/>
      <c r="H8" s="1757"/>
      <c r="I8" s="1757"/>
      <c r="J8" s="1757"/>
    </row>
    <row r="9" spans="1:10" ht="102" thickBot="1" x14ac:dyDescent="0.4">
      <c r="A9" s="2175">
        <v>1</v>
      </c>
      <c r="B9" s="2177" t="s">
        <v>781</v>
      </c>
      <c r="C9" s="1768" t="s">
        <v>1026</v>
      </c>
      <c r="D9" s="1766">
        <v>1</v>
      </c>
      <c r="E9" s="1766">
        <v>3600</v>
      </c>
      <c r="F9" s="1769">
        <v>3700</v>
      </c>
      <c r="G9" s="1766">
        <v>3756</v>
      </c>
      <c r="H9" s="1770">
        <f>(G9-E9)/(F9-E9)</f>
        <v>1.56</v>
      </c>
      <c r="I9" s="1770">
        <v>1.01</v>
      </c>
      <c r="J9" s="1767" t="s">
        <v>1049</v>
      </c>
    </row>
    <row r="10" spans="1:10" ht="29.5" thickBot="1" x14ac:dyDescent="0.4">
      <c r="A10" s="2176"/>
      <c r="B10" s="2178"/>
      <c r="C10" s="603" t="s">
        <v>782</v>
      </c>
      <c r="D10" s="28">
        <v>2</v>
      </c>
      <c r="E10" s="879">
        <v>200</v>
      </c>
      <c r="F10" s="604">
        <v>230</v>
      </c>
      <c r="G10" s="28">
        <f>E10+2+2.3+5</f>
        <v>209.3</v>
      </c>
      <c r="H10" s="602">
        <f>(G10-E10)/(F10-E10)</f>
        <v>0.31000000000000039</v>
      </c>
      <c r="I10" s="602">
        <f t="shared" ref="I10:I12" si="0">H10</f>
        <v>0.31000000000000039</v>
      </c>
      <c r="J10" s="27" t="s">
        <v>1050</v>
      </c>
    </row>
    <row r="11" spans="1:10" ht="58.5" thickBot="1" x14ac:dyDescent="0.4">
      <c r="A11" s="2176"/>
      <c r="B11" s="2178"/>
      <c r="C11" s="605" t="s">
        <v>783</v>
      </c>
      <c r="D11" s="17">
        <v>3</v>
      </c>
      <c r="E11" s="880">
        <v>250</v>
      </c>
      <c r="F11" s="601">
        <v>300</v>
      </c>
      <c r="G11" s="17">
        <v>275</v>
      </c>
      <c r="H11" s="602">
        <f>(G11-E11)/(F11-E11)</f>
        <v>0.5</v>
      </c>
      <c r="I11" s="602">
        <f t="shared" si="0"/>
        <v>0.5</v>
      </c>
      <c r="J11" s="27" t="s">
        <v>1051</v>
      </c>
    </row>
    <row r="12" spans="1:10" ht="58.5" thickBot="1" x14ac:dyDescent="0.4">
      <c r="A12" s="2176"/>
      <c r="B12" s="2178"/>
      <c r="C12" s="603" t="s">
        <v>784</v>
      </c>
      <c r="D12" s="28">
        <v>4</v>
      </c>
      <c r="E12" s="879">
        <v>0</v>
      </c>
      <c r="F12" s="604">
        <v>10</v>
      </c>
      <c r="G12" s="28">
        <v>5</v>
      </c>
      <c r="H12" s="602">
        <f t="shared" ref="H12:H15" si="1">(G12-E12)/(F12-E12)</f>
        <v>0.5</v>
      </c>
      <c r="I12" s="602">
        <f t="shared" si="0"/>
        <v>0.5</v>
      </c>
      <c r="J12" s="27" t="s">
        <v>1052</v>
      </c>
    </row>
    <row r="13" spans="1:10" ht="116.5" thickBot="1" x14ac:dyDescent="0.4">
      <c r="A13" s="2176"/>
      <c r="B13" s="2178"/>
      <c r="C13" s="603" t="s">
        <v>785</v>
      </c>
      <c r="D13" s="28">
        <v>5</v>
      </c>
      <c r="E13" s="879">
        <v>400</v>
      </c>
      <c r="F13" s="604">
        <v>600</v>
      </c>
      <c r="G13" s="28">
        <f>765.4-140</f>
        <v>625.4</v>
      </c>
      <c r="H13" s="602">
        <f t="shared" si="1"/>
        <v>1.1269999999999998</v>
      </c>
      <c r="I13" s="602">
        <v>1.01</v>
      </c>
      <c r="J13" s="27" t="s">
        <v>1053</v>
      </c>
    </row>
    <row r="14" spans="1:10" ht="29.5" thickBot="1" x14ac:dyDescent="0.4">
      <c r="A14" s="2176"/>
      <c r="B14" s="2178"/>
      <c r="C14" s="603" t="s">
        <v>786</v>
      </c>
      <c r="D14" s="28">
        <v>6</v>
      </c>
      <c r="E14" s="879">
        <v>10</v>
      </c>
      <c r="F14" s="604">
        <v>15</v>
      </c>
      <c r="G14" s="28">
        <v>15.5</v>
      </c>
      <c r="H14" s="602">
        <f t="shared" si="1"/>
        <v>1.1000000000000001</v>
      </c>
      <c r="I14" s="602">
        <v>1.01</v>
      </c>
      <c r="J14" s="27" t="s">
        <v>1054</v>
      </c>
    </row>
    <row r="15" spans="1:10" ht="29.5" thickBot="1" x14ac:dyDescent="0.4">
      <c r="A15" s="2176"/>
      <c r="B15" s="2178"/>
      <c r="C15" s="605" t="s">
        <v>787</v>
      </c>
      <c r="D15" s="17">
        <v>7</v>
      </c>
      <c r="E15" s="880">
        <v>100</v>
      </c>
      <c r="F15" s="606">
        <v>150</v>
      </c>
      <c r="G15" s="17">
        <v>157</v>
      </c>
      <c r="H15" s="602">
        <f t="shared" si="1"/>
        <v>1.1399999999999999</v>
      </c>
      <c r="I15" s="602">
        <v>1.01</v>
      </c>
      <c r="J15" s="35" t="s">
        <v>1055</v>
      </c>
    </row>
    <row r="16" spans="1:10" ht="15" thickBot="1" x14ac:dyDescent="0.4">
      <c r="A16" s="607"/>
      <c r="B16" s="608"/>
      <c r="C16" s="609" t="s">
        <v>652</v>
      </c>
      <c r="D16" s="610"/>
      <c r="E16" s="610"/>
      <c r="F16" s="610"/>
      <c r="G16" s="611"/>
      <c r="H16" s="903"/>
      <c r="I16" s="1348">
        <f>AVERAGE(I9:I15)</f>
        <v>0.76428571428571423</v>
      </c>
      <c r="J16" s="612"/>
    </row>
    <row r="17" spans="3:3" ht="29" x14ac:dyDescent="0.35">
      <c r="C17" s="1768" t="s">
        <v>1026</v>
      </c>
    </row>
    <row r="18" spans="3:3" ht="29" x14ac:dyDescent="0.35">
      <c r="C18" s="603" t="s">
        <v>785</v>
      </c>
    </row>
    <row r="19" spans="3:3" ht="29" x14ac:dyDescent="0.35">
      <c r="C19" s="603" t="s">
        <v>786</v>
      </c>
    </row>
    <row r="20" spans="3:3" ht="29" x14ac:dyDescent="0.35">
      <c r="C20" s="605" t="s">
        <v>787</v>
      </c>
    </row>
  </sheetData>
  <mergeCells count="6">
    <mergeCell ref="A7:J7"/>
    <mergeCell ref="A9:A15"/>
    <mergeCell ref="B9:B15"/>
    <mergeCell ref="A1:J1"/>
    <mergeCell ref="A2:J2"/>
    <mergeCell ref="A3:J3"/>
  </mergeCells>
  <printOptions horizontalCentered="1"/>
  <pageMargins left="0.51181102362204722" right="0.51181102362204722" top="0.55118110236220474" bottom="0.55118110236220474" header="0.31496062992125984" footer="0.31496062992125984"/>
  <pageSetup scale="5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230D-0718-4C13-9BF9-95A1811E79EC}">
  <sheetPr>
    <tabColor rgb="FF00B0F0"/>
  </sheetPr>
  <dimension ref="A1:K14"/>
  <sheetViews>
    <sheetView topLeftCell="A8" zoomScaleNormal="100" workbookViewId="0">
      <selection activeCell="E13" sqref="E13"/>
    </sheetView>
  </sheetViews>
  <sheetFormatPr defaultRowHeight="14.5" x14ac:dyDescent="0.35"/>
  <cols>
    <col min="1" max="1" width="6.7265625" customWidth="1"/>
    <col min="2" max="2" width="25" customWidth="1"/>
    <col min="3" max="3" width="33.26953125" customWidth="1"/>
    <col min="4" max="4" width="7.81640625" customWidth="1"/>
    <col min="5" max="5" width="11.7265625" customWidth="1"/>
    <col min="6" max="6" width="7.1796875" customWidth="1"/>
    <col min="7" max="7" width="12" customWidth="1"/>
    <col min="8" max="8" width="11.08984375" customWidth="1"/>
    <col min="9" max="9" width="34.54296875" customWidth="1"/>
    <col min="10" max="10" width="23.7265625" customWidth="1"/>
  </cols>
  <sheetData>
    <row r="1" spans="1:11" ht="21" x14ac:dyDescent="0.5">
      <c r="A1" s="2124" t="s">
        <v>1499</v>
      </c>
      <c r="B1" s="2124"/>
      <c r="C1" s="2124"/>
      <c r="D1" s="2124"/>
      <c r="E1" s="2124"/>
      <c r="F1" s="2124"/>
      <c r="G1" s="2124"/>
      <c r="H1" s="2124"/>
      <c r="I1" s="2124"/>
      <c r="J1" s="317"/>
    </row>
    <row r="2" spans="1:11" ht="19" thickBot="1" x14ac:dyDescent="0.5">
      <c r="A2" s="2193" t="s">
        <v>1029</v>
      </c>
      <c r="B2" s="2193"/>
      <c r="C2" s="2193"/>
      <c r="D2" s="2193"/>
      <c r="E2" s="2193"/>
      <c r="F2" s="2193"/>
      <c r="G2" s="2193"/>
      <c r="H2" s="2193"/>
      <c r="I2" s="2193"/>
      <c r="J2" s="1738"/>
      <c r="K2" s="1738"/>
    </row>
    <row r="3" spans="1:11" ht="15" thickBot="1" x14ac:dyDescent="0.4">
      <c r="A3" s="2180" t="s">
        <v>1500</v>
      </c>
      <c r="B3" s="2181"/>
      <c r="C3" s="2181"/>
      <c r="D3" s="2181"/>
      <c r="E3" s="2181"/>
      <c r="F3" s="2181"/>
      <c r="G3" s="2181"/>
      <c r="H3" s="2181"/>
      <c r="I3" s="2182"/>
      <c r="J3" s="317"/>
    </row>
    <row r="4" spans="1:11" ht="15" thickBot="1" x14ac:dyDescent="0.4">
      <c r="A4" s="1700" t="s">
        <v>1501</v>
      </c>
      <c r="B4" s="1701"/>
      <c r="C4" s="1702"/>
      <c r="D4" s="1702"/>
      <c r="E4" s="1702"/>
      <c r="F4" s="1702"/>
      <c r="G4" s="1702"/>
      <c r="H4" s="1702"/>
      <c r="I4" s="1703"/>
      <c r="J4" s="317"/>
    </row>
    <row r="5" spans="1:11" ht="35" thickBot="1" x14ac:dyDescent="0.4">
      <c r="A5" s="456" t="s">
        <v>276</v>
      </c>
      <c r="B5" s="433" t="s">
        <v>159</v>
      </c>
      <c r="C5" s="434" t="s">
        <v>4</v>
      </c>
      <c r="D5" s="435" t="s">
        <v>161</v>
      </c>
      <c r="E5" s="436" t="s">
        <v>6</v>
      </c>
      <c r="F5" s="435" t="s">
        <v>162</v>
      </c>
      <c r="G5" s="434" t="s">
        <v>25</v>
      </c>
      <c r="H5" s="434" t="s">
        <v>1418</v>
      </c>
      <c r="I5" s="433" t="s">
        <v>127</v>
      </c>
      <c r="J5" s="317"/>
    </row>
    <row r="6" spans="1:11" ht="91.5" thickBot="1" x14ac:dyDescent="0.4">
      <c r="A6" s="2185">
        <v>1</v>
      </c>
      <c r="B6" s="2187" t="s">
        <v>1502</v>
      </c>
      <c r="C6" s="1704" t="s">
        <v>1576</v>
      </c>
      <c r="D6" s="1705">
        <v>1</v>
      </c>
      <c r="E6" s="1705">
        <v>7</v>
      </c>
      <c r="F6" s="1705">
        <v>8</v>
      </c>
      <c r="G6" s="1706">
        <f>F6/E6</f>
        <v>1.1428571428571428</v>
      </c>
      <c r="H6" s="1739">
        <v>1.01</v>
      </c>
      <c r="I6" s="1707" t="s">
        <v>1503</v>
      </c>
      <c r="J6" s="2183" t="s">
        <v>1504</v>
      </c>
      <c r="K6" t="s">
        <v>1505</v>
      </c>
    </row>
    <row r="7" spans="1:11" ht="52.5" thickBot="1" x14ac:dyDescent="0.4">
      <c r="A7" s="2186"/>
      <c r="B7" s="2188"/>
      <c r="C7" s="1708" t="s">
        <v>1506</v>
      </c>
      <c r="D7" s="1709">
        <v>2</v>
      </c>
      <c r="E7" s="1709">
        <v>90</v>
      </c>
      <c r="F7" s="1709">
        <v>150</v>
      </c>
      <c r="G7" s="1710">
        <f t="shared" ref="G7:G9" si="0">F7/E7</f>
        <v>1.6666666666666667</v>
      </c>
      <c r="H7" s="1739">
        <v>1.01</v>
      </c>
      <c r="I7" s="1711" t="s">
        <v>1507</v>
      </c>
      <c r="J7" s="2184"/>
    </row>
    <row r="8" spans="1:11" ht="131" thickBot="1" x14ac:dyDescent="0.4">
      <c r="A8" s="2186"/>
      <c r="B8" s="2188"/>
      <c r="C8" s="1708" t="s">
        <v>1508</v>
      </c>
      <c r="D8" s="1709">
        <v>3</v>
      </c>
      <c r="E8" s="1709">
        <v>25</v>
      </c>
      <c r="F8" s="1709">
        <v>8</v>
      </c>
      <c r="G8" s="1710">
        <f t="shared" si="0"/>
        <v>0.32</v>
      </c>
      <c r="H8" s="1739">
        <f t="shared" ref="H8:H13" si="1">G8</f>
        <v>0.32</v>
      </c>
      <c r="I8" s="1712" t="s">
        <v>1509</v>
      </c>
      <c r="J8" s="1713" t="s">
        <v>1504</v>
      </c>
      <c r="K8" s="301" t="s">
        <v>1510</v>
      </c>
    </row>
    <row r="9" spans="1:11" ht="52.5" thickBot="1" x14ac:dyDescent="0.4">
      <c r="A9" s="2194"/>
      <c r="B9" s="2195"/>
      <c r="C9" s="1714" t="s">
        <v>1511</v>
      </c>
      <c r="D9" s="1715">
        <v>4</v>
      </c>
      <c r="E9" s="1715">
        <v>16</v>
      </c>
      <c r="F9" s="1715">
        <v>2</v>
      </c>
      <c r="G9" s="1716">
        <f t="shared" si="0"/>
        <v>0.125</v>
      </c>
      <c r="H9" s="1739">
        <f t="shared" si="1"/>
        <v>0.125</v>
      </c>
      <c r="I9" s="1717" t="s">
        <v>1577</v>
      </c>
      <c r="J9" s="1713" t="s">
        <v>1504</v>
      </c>
    </row>
    <row r="10" spans="1:11" ht="26.5" thickBot="1" x14ac:dyDescent="0.4">
      <c r="A10" s="2185">
        <v>2</v>
      </c>
      <c r="B10" s="2187" t="s">
        <v>1512</v>
      </c>
      <c r="C10" s="1718" t="s">
        <v>1513</v>
      </c>
      <c r="D10" s="1719">
        <v>5</v>
      </c>
      <c r="E10" s="1719">
        <v>0</v>
      </c>
      <c r="F10" s="1720"/>
      <c r="G10" s="1720"/>
      <c r="H10" s="1739" t="s">
        <v>1420</v>
      </c>
      <c r="I10" s="1721"/>
      <c r="J10" s="317"/>
    </row>
    <row r="11" spans="1:11" ht="26.5" thickBot="1" x14ac:dyDescent="0.4">
      <c r="A11" s="2186"/>
      <c r="B11" s="2188"/>
      <c r="C11" s="1722" t="s">
        <v>1514</v>
      </c>
      <c r="D11" s="1723">
        <v>6</v>
      </c>
      <c r="E11" s="1724">
        <v>0</v>
      </c>
      <c r="F11" s="1725"/>
      <c r="G11" s="1725"/>
      <c r="H11" s="1739" t="s">
        <v>1420</v>
      </c>
      <c r="I11" s="1726"/>
      <c r="J11" s="317"/>
    </row>
    <row r="12" spans="1:11" ht="29.5" thickBot="1" x14ac:dyDescent="0.4">
      <c r="A12" s="2189">
        <v>3</v>
      </c>
      <c r="B12" s="2191" t="s">
        <v>1515</v>
      </c>
      <c r="C12" s="1727" t="s">
        <v>1516</v>
      </c>
      <c r="D12" s="1728">
        <v>7</v>
      </c>
      <c r="E12" s="1728">
        <v>10</v>
      </c>
      <c r="F12" s="1741">
        <v>5</v>
      </c>
      <c r="G12" s="1742">
        <f t="shared" ref="G12:G13" si="2">F12/E12</f>
        <v>0.5</v>
      </c>
      <c r="H12" s="1743">
        <f t="shared" si="1"/>
        <v>0.5</v>
      </c>
      <c r="I12" s="1744" t="s">
        <v>1517</v>
      </c>
      <c r="J12" s="317" t="s">
        <v>1518</v>
      </c>
    </row>
    <row r="13" spans="1:11" ht="42.5" thickBot="1" x14ac:dyDescent="0.4">
      <c r="A13" s="2190"/>
      <c r="B13" s="2192"/>
      <c r="C13" s="1729" t="s">
        <v>1519</v>
      </c>
      <c r="D13" s="1730">
        <v>8</v>
      </c>
      <c r="E13" s="1730">
        <v>150</v>
      </c>
      <c r="F13" s="1731">
        <v>60</v>
      </c>
      <c r="G13" s="1732">
        <f t="shared" si="2"/>
        <v>0.4</v>
      </c>
      <c r="H13" s="2587">
        <f t="shared" si="1"/>
        <v>0.4</v>
      </c>
      <c r="I13" s="1733" t="s">
        <v>1517</v>
      </c>
      <c r="J13" s="317" t="s">
        <v>1520</v>
      </c>
    </row>
    <row r="14" spans="1:11" ht="15" thickBot="1" x14ac:dyDescent="0.4">
      <c r="A14" s="1734"/>
      <c r="B14" s="1735"/>
      <c r="C14" s="1735"/>
      <c r="D14" s="1735" t="s">
        <v>652</v>
      </c>
      <c r="E14" s="1735"/>
      <c r="F14" s="1735"/>
      <c r="G14" s="1736">
        <f>AVERAGE(G6:G13)</f>
        <v>0.69242063492063488</v>
      </c>
      <c r="H14" s="1740">
        <f>AVERAGE(H6:H13)</f>
        <v>0.56083333333333329</v>
      </c>
      <c r="I14" s="1737"/>
      <c r="J14" s="317"/>
    </row>
  </sheetData>
  <mergeCells count="10">
    <mergeCell ref="A1:I1"/>
    <mergeCell ref="A2:I2"/>
    <mergeCell ref="A3:I3"/>
    <mergeCell ref="A6:A9"/>
    <mergeCell ref="B6:B9"/>
    <mergeCell ref="J6:J7"/>
    <mergeCell ref="A10:A11"/>
    <mergeCell ref="B10:B11"/>
    <mergeCell ref="A12:A13"/>
    <mergeCell ref="B12:B13"/>
  </mergeCells>
  <printOptions horizontalCentered="1"/>
  <pageMargins left="0.51181102362204722" right="0.51181102362204722" top="0.55118110236220474" bottom="0.55118110236220474" header="0.31496062992125984" footer="0.31496062992125984"/>
  <pageSetup scale="6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EEF8C-DB91-4D80-9C0F-3C2F7C23C966}">
  <sheetPr>
    <tabColor theme="7" tint="-0.249977111117893"/>
  </sheetPr>
  <dimension ref="A1:P153"/>
  <sheetViews>
    <sheetView topLeftCell="A53" zoomScaleNormal="100" zoomScaleSheetLayoutView="98" workbookViewId="0">
      <selection activeCell="B66" sqref="B66"/>
    </sheetView>
  </sheetViews>
  <sheetFormatPr defaultRowHeight="14.5" x14ac:dyDescent="0.35"/>
  <cols>
    <col min="1" max="1" width="7" customWidth="1"/>
    <col min="2" max="2" width="36.54296875" customWidth="1"/>
    <col min="3" max="3" width="27.7265625" customWidth="1"/>
    <col min="4" max="4" width="8.1796875" customWidth="1"/>
    <col min="5" max="6" width="12.6328125" customWidth="1"/>
    <col min="7" max="7" width="11.54296875" customWidth="1"/>
    <col min="8" max="8" width="10.26953125" customWidth="1"/>
    <col min="9" max="9" width="33" bestFit="1" customWidth="1"/>
    <col min="10" max="10" width="22.26953125" customWidth="1"/>
  </cols>
  <sheetData>
    <row r="1" spans="1:16" ht="18.5" x14ac:dyDescent="0.45">
      <c r="A1" s="2228" t="s">
        <v>1108</v>
      </c>
      <c r="B1" s="2228"/>
      <c r="C1" s="2228"/>
      <c r="D1" s="2228"/>
      <c r="E1" s="2228"/>
      <c r="F1" s="2228"/>
      <c r="G1" s="2228"/>
      <c r="H1" s="2228"/>
      <c r="I1" s="2228"/>
      <c r="J1" s="951"/>
      <c r="K1" s="951"/>
      <c r="L1" s="951"/>
      <c r="M1" s="951"/>
      <c r="N1" s="951"/>
      <c r="O1" s="951"/>
      <c r="P1" s="951"/>
    </row>
    <row r="2" spans="1:16" ht="19" thickBot="1" x14ac:dyDescent="0.5">
      <c r="A2" s="2068" t="s">
        <v>1029</v>
      </c>
      <c r="B2" s="2068"/>
      <c r="C2" s="2068"/>
      <c r="D2" s="2068"/>
      <c r="E2" s="2068"/>
      <c r="F2" s="2068"/>
      <c r="G2" s="2068"/>
      <c r="H2" s="2068"/>
      <c r="I2" s="2068"/>
      <c r="J2" s="951"/>
      <c r="K2" s="951"/>
      <c r="L2" s="951"/>
      <c r="M2" s="951"/>
      <c r="N2" s="951"/>
      <c r="O2" s="951"/>
      <c r="P2" s="951"/>
    </row>
    <row r="3" spans="1:16" ht="16" thickBot="1" x14ac:dyDescent="0.4">
      <c r="A3" s="2229" t="s">
        <v>0</v>
      </c>
      <c r="B3" s="2230"/>
      <c r="C3" s="2230"/>
      <c r="D3" s="2230"/>
      <c r="E3" s="2230"/>
      <c r="F3" s="2230"/>
      <c r="G3" s="2230"/>
      <c r="H3" s="2230"/>
      <c r="I3" s="2231"/>
      <c r="J3" s="951"/>
      <c r="K3" s="951"/>
      <c r="L3" s="951"/>
      <c r="M3" s="951"/>
      <c r="N3" s="951"/>
      <c r="O3" s="951"/>
      <c r="P3" s="951"/>
    </row>
    <row r="4" spans="1:16" ht="38" customHeight="1" thickBot="1" x14ac:dyDescent="0.4">
      <c r="A4" s="952" t="s">
        <v>276</v>
      </c>
      <c r="B4" s="953" t="s">
        <v>159</v>
      </c>
      <c r="C4" s="953" t="s">
        <v>4</v>
      </c>
      <c r="D4" s="954" t="s">
        <v>161</v>
      </c>
      <c r="E4" s="955" t="s">
        <v>6</v>
      </c>
      <c r="F4" s="954" t="s">
        <v>162</v>
      </c>
      <c r="G4" s="953" t="s">
        <v>25</v>
      </c>
      <c r="H4" s="953" t="s">
        <v>1418</v>
      </c>
      <c r="I4" s="956" t="s">
        <v>163</v>
      </c>
      <c r="J4" s="951"/>
      <c r="K4" s="951"/>
      <c r="L4" s="951"/>
      <c r="M4" s="951"/>
      <c r="N4" s="951"/>
      <c r="O4" s="951"/>
      <c r="P4" s="951"/>
    </row>
    <row r="5" spans="1:16" ht="15" thickBot="1" x14ac:dyDescent="0.4">
      <c r="A5" s="952"/>
      <c r="B5" s="995"/>
      <c r="C5" s="995"/>
      <c r="D5" s="954"/>
      <c r="E5" s="954"/>
      <c r="F5" s="954"/>
      <c r="G5" s="995"/>
      <c r="H5" s="995"/>
      <c r="I5" s="1021"/>
      <c r="J5" s="951"/>
      <c r="K5" s="951"/>
      <c r="L5" s="951"/>
      <c r="M5" s="951"/>
      <c r="N5" s="951"/>
      <c r="O5" s="951"/>
      <c r="P5" s="951"/>
    </row>
    <row r="6" spans="1:16" ht="16" thickBot="1" x14ac:dyDescent="0.4">
      <c r="A6" s="2232" t="s">
        <v>1444</v>
      </c>
      <c r="B6" s="2233"/>
      <c r="C6" s="2233"/>
      <c r="D6" s="2233"/>
      <c r="E6" s="2233"/>
      <c r="F6" s="2233"/>
      <c r="G6" s="2233"/>
      <c r="H6" s="2233"/>
      <c r="I6" s="2234"/>
      <c r="J6" s="951"/>
      <c r="K6" s="951"/>
      <c r="L6" s="951"/>
      <c r="M6" s="951"/>
      <c r="N6" s="951"/>
      <c r="O6" s="951"/>
      <c r="P6" s="951"/>
    </row>
    <row r="7" spans="1:16" x14ac:dyDescent="0.35">
      <c r="J7" s="951"/>
      <c r="K7" s="951"/>
      <c r="L7" s="951"/>
      <c r="M7" s="951"/>
      <c r="N7" s="951"/>
      <c r="O7" s="951"/>
      <c r="P7" s="951"/>
    </row>
    <row r="8" spans="1:16" ht="62.5" thickBot="1" x14ac:dyDescent="0.4">
      <c r="A8" s="957">
        <v>1</v>
      </c>
      <c r="B8" s="958" t="s">
        <v>1442</v>
      </c>
      <c r="C8" s="959" t="s">
        <v>1109</v>
      </c>
      <c r="D8" s="960">
        <v>1</v>
      </c>
      <c r="E8" s="961">
        <v>3491</v>
      </c>
      <c r="F8" s="962">
        <v>1806</v>
      </c>
      <c r="G8" s="963">
        <f t="shared" ref="G8:G13" si="0">F8/E8</f>
        <v>0.51733027785734742</v>
      </c>
      <c r="H8" s="1356">
        <f>G8</f>
        <v>0.51733027785734742</v>
      </c>
      <c r="I8" s="964" t="s">
        <v>1436</v>
      </c>
      <c r="J8" s="965" t="s">
        <v>1110</v>
      </c>
      <c r="K8" s="951" t="s">
        <v>1111</v>
      </c>
      <c r="L8" s="951"/>
      <c r="M8" s="951"/>
      <c r="N8" s="951"/>
      <c r="O8" s="951"/>
      <c r="P8" s="951"/>
    </row>
    <row r="9" spans="1:16" ht="62.5" thickBot="1" x14ac:dyDescent="0.4">
      <c r="A9" s="966">
        <v>2</v>
      </c>
      <c r="B9" s="967" t="s">
        <v>1112</v>
      </c>
      <c r="C9" s="967" t="s">
        <v>1113</v>
      </c>
      <c r="D9" s="966">
        <v>2</v>
      </c>
      <c r="E9" s="968">
        <v>70</v>
      </c>
      <c r="F9" s="969">
        <v>502</v>
      </c>
      <c r="G9" s="970">
        <f t="shared" si="0"/>
        <v>7.1714285714285717</v>
      </c>
      <c r="H9" s="1356">
        <v>1.01</v>
      </c>
      <c r="I9" s="971" t="s">
        <v>1114</v>
      </c>
      <c r="J9" s="951"/>
      <c r="K9" s="951"/>
      <c r="L9" s="951"/>
      <c r="M9" s="951"/>
      <c r="N9" s="951"/>
      <c r="O9" s="951"/>
      <c r="P9" s="951"/>
    </row>
    <row r="10" spans="1:16" ht="72.5" thickBot="1" x14ac:dyDescent="0.4">
      <c r="A10" s="2235">
        <v>3</v>
      </c>
      <c r="B10" s="2237" t="s">
        <v>1115</v>
      </c>
      <c r="C10" s="973" t="s">
        <v>1116</v>
      </c>
      <c r="D10" s="966">
        <v>3</v>
      </c>
      <c r="E10" s="974">
        <v>9</v>
      </c>
      <c r="F10" s="969">
        <v>1</v>
      </c>
      <c r="G10" s="970">
        <f t="shared" si="0"/>
        <v>0.1111111111111111</v>
      </c>
      <c r="H10" s="1356">
        <f t="shared" ref="H10:H13" si="1">G10</f>
        <v>0.1111111111111111</v>
      </c>
      <c r="I10" s="971" t="s">
        <v>1443</v>
      </c>
      <c r="J10" s="965" t="s">
        <v>1117</v>
      </c>
      <c r="K10" s="951" t="s">
        <v>1118</v>
      </c>
      <c r="L10" s="951"/>
      <c r="M10" s="951"/>
      <c r="N10" s="951"/>
      <c r="O10" s="951"/>
      <c r="P10" s="951"/>
    </row>
    <row r="11" spans="1:16" ht="46.5" x14ac:dyDescent="0.35">
      <c r="A11" s="2236"/>
      <c r="B11" s="2238"/>
      <c r="C11" s="967" t="s">
        <v>1119</v>
      </c>
      <c r="D11" s="972">
        <v>4</v>
      </c>
      <c r="E11" s="975">
        <v>1040</v>
      </c>
      <c r="F11" s="976">
        <v>0</v>
      </c>
      <c r="G11" s="977">
        <f t="shared" si="0"/>
        <v>0</v>
      </c>
      <c r="H11" s="1356">
        <f t="shared" si="1"/>
        <v>0</v>
      </c>
      <c r="I11" s="978" t="s">
        <v>1161</v>
      </c>
      <c r="J11" s="951"/>
      <c r="K11" s="951"/>
      <c r="L11" s="951"/>
      <c r="M11" s="951"/>
      <c r="N11" s="951"/>
      <c r="O11" s="951"/>
      <c r="P11" s="951"/>
    </row>
    <row r="12" spans="1:16" ht="46.5" x14ac:dyDescent="0.35">
      <c r="A12" s="2239">
        <v>4</v>
      </c>
      <c r="B12" s="2241" t="s">
        <v>1120</v>
      </c>
      <c r="C12" s="979" t="s">
        <v>1121</v>
      </c>
      <c r="D12" s="969">
        <v>5</v>
      </c>
      <c r="E12" s="980">
        <f>1548+12601</f>
        <v>14149</v>
      </c>
      <c r="F12" s="981">
        <v>12601</v>
      </c>
      <c r="G12" s="982">
        <f t="shared" si="0"/>
        <v>0.89059297476853483</v>
      </c>
      <c r="H12" s="1356">
        <f t="shared" si="1"/>
        <v>0.89059297476853483</v>
      </c>
      <c r="I12" s="971" t="s">
        <v>1437</v>
      </c>
      <c r="J12" s="983" t="s">
        <v>1122</v>
      </c>
      <c r="K12" s="951" t="s">
        <v>1123</v>
      </c>
      <c r="L12" s="951"/>
      <c r="M12" s="951"/>
      <c r="N12" s="951"/>
      <c r="O12" s="951"/>
      <c r="P12" s="951"/>
    </row>
    <row r="13" spans="1:16" ht="62.5" thickBot="1" x14ac:dyDescent="0.4">
      <c r="A13" s="2240"/>
      <c r="B13" s="2242"/>
      <c r="C13" s="984" t="s">
        <v>1124</v>
      </c>
      <c r="D13" s="976">
        <v>6</v>
      </c>
      <c r="E13" s="985">
        <v>1500000000</v>
      </c>
      <c r="F13" s="986">
        <v>1264401000</v>
      </c>
      <c r="G13" s="987">
        <f t="shared" si="0"/>
        <v>0.84293399999999996</v>
      </c>
      <c r="H13" s="1356">
        <f t="shared" si="1"/>
        <v>0.84293399999999996</v>
      </c>
      <c r="I13" s="988" t="s">
        <v>1125</v>
      </c>
      <c r="J13" s="965" t="s">
        <v>1126</v>
      </c>
      <c r="K13" s="951" t="s">
        <v>1123</v>
      </c>
      <c r="L13" s="951"/>
      <c r="M13" s="951"/>
      <c r="N13" s="951"/>
      <c r="O13" s="951"/>
      <c r="P13" s="951"/>
    </row>
    <row r="14" spans="1:16" ht="16" thickBot="1" x14ac:dyDescent="0.4">
      <c r="A14" s="989"/>
      <c r="B14" s="990"/>
      <c r="C14" s="991" t="s">
        <v>366</v>
      </c>
      <c r="D14" s="990"/>
      <c r="E14" s="990"/>
      <c r="F14" s="992"/>
      <c r="G14" s="993"/>
      <c r="H14" s="994"/>
      <c r="I14" s="993">
        <f>AVERAGE(H8:H13)</f>
        <v>0.56199472728949895</v>
      </c>
      <c r="J14" s="951"/>
      <c r="K14" s="951"/>
      <c r="L14" s="951"/>
      <c r="M14" s="951"/>
      <c r="N14" s="951"/>
      <c r="O14" s="951"/>
      <c r="P14" s="951"/>
    </row>
    <row r="15" spans="1:16" ht="16" thickBot="1" x14ac:dyDescent="0.4">
      <c r="A15" s="2199" t="s">
        <v>1127</v>
      </c>
      <c r="B15" s="2200"/>
      <c r="C15" s="2200"/>
      <c r="D15" s="2200"/>
      <c r="E15" s="2200"/>
      <c r="F15" s="2200"/>
      <c r="G15" s="2200"/>
      <c r="H15" s="2223"/>
      <c r="I15" s="2243"/>
      <c r="J15" s="951"/>
      <c r="K15" s="951"/>
      <c r="L15" s="951"/>
      <c r="M15" s="951"/>
      <c r="N15" s="951"/>
      <c r="O15" s="951"/>
      <c r="P15" s="951"/>
    </row>
    <row r="16" spans="1:16" ht="43.5" x14ac:dyDescent="0.35">
      <c r="A16" s="996">
        <v>1</v>
      </c>
      <c r="B16" s="997" t="s">
        <v>1128</v>
      </c>
      <c r="C16" s="997" t="s">
        <v>1129</v>
      </c>
      <c r="D16" s="998">
        <v>1</v>
      </c>
      <c r="E16" s="999">
        <v>0.7</v>
      </c>
      <c r="F16" s="1000">
        <v>1</v>
      </c>
      <c r="G16" s="1001">
        <f>F16/E16</f>
        <v>1.4285714285714286</v>
      </c>
      <c r="H16" s="1357">
        <v>1.01</v>
      </c>
      <c r="I16" s="1002" t="s">
        <v>1130</v>
      </c>
      <c r="J16" s="965" t="s">
        <v>1131</v>
      </c>
      <c r="K16" s="951" t="s">
        <v>1132</v>
      </c>
      <c r="L16" s="951"/>
      <c r="M16" s="951"/>
      <c r="N16" s="951"/>
      <c r="O16" s="951"/>
      <c r="P16" s="951"/>
    </row>
    <row r="17" spans="1:16" ht="58" x14ac:dyDescent="0.35">
      <c r="A17" s="2219">
        <v>2</v>
      </c>
      <c r="B17" s="2221" t="s">
        <v>1133</v>
      </c>
      <c r="C17" s="997" t="s">
        <v>1134</v>
      </c>
      <c r="D17" s="998">
        <v>2</v>
      </c>
      <c r="E17" s="1003">
        <v>4</v>
      </c>
      <c r="F17" s="996">
        <v>1</v>
      </c>
      <c r="G17" s="1001">
        <f t="shared" ref="G17:G21" si="2">F17/E17</f>
        <v>0.25</v>
      </c>
      <c r="H17" s="1357">
        <f t="shared" ref="H17:H22" si="3">G17</f>
        <v>0.25</v>
      </c>
      <c r="I17" s="1358" t="s">
        <v>1438</v>
      </c>
      <c r="J17" s="951"/>
      <c r="K17" s="951"/>
      <c r="L17" s="951"/>
      <c r="M17" s="951"/>
      <c r="N17" s="951"/>
      <c r="O17" s="951"/>
      <c r="P17" s="951"/>
    </row>
    <row r="18" spans="1:16" ht="72.5" x14ac:dyDescent="0.35">
      <c r="A18" s="2219"/>
      <c r="B18" s="2221"/>
      <c r="C18" s="997" t="s">
        <v>1135</v>
      </c>
      <c r="D18" s="998">
        <v>3</v>
      </c>
      <c r="E18" s="998">
        <v>5</v>
      </c>
      <c r="F18" s="996">
        <v>4</v>
      </c>
      <c r="G18" s="1001">
        <f>F18/E18</f>
        <v>0.8</v>
      </c>
      <c r="H18" s="1357">
        <f t="shared" si="3"/>
        <v>0.8</v>
      </c>
      <c r="I18" s="1005" t="s">
        <v>1136</v>
      </c>
      <c r="J18" s="951"/>
      <c r="K18" s="951"/>
      <c r="L18" s="951"/>
      <c r="M18" s="951"/>
      <c r="N18" s="951"/>
      <c r="O18" s="951"/>
      <c r="P18" s="951"/>
    </row>
    <row r="19" spans="1:16" ht="56" x14ac:dyDescent="0.35">
      <c r="A19" s="2219"/>
      <c r="B19" s="2221"/>
      <c r="C19" s="1006" t="s">
        <v>1137</v>
      </c>
      <c r="D19" s="998">
        <v>4</v>
      </c>
      <c r="E19" s="998">
        <v>100</v>
      </c>
      <c r="F19" s="996">
        <v>0</v>
      </c>
      <c r="G19" s="1001">
        <f t="shared" si="2"/>
        <v>0</v>
      </c>
      <c r="H19" s="1357">
        <f t="shared" si="3"/>
        <v>0</v>
      </c>
      <c r="I19" s="1005" t="s">
        <v>1138</v>
      </c>
      <c r="J19" s="951"/>
      <c r="K19" s="951"/>
      <c r="L19" s="951"/>
      <c r="M19" s="951"/>
      <c r="N19" s="951"/>
      <c r="O19" s="951"/>
      <c r="P19" s="951"/>
    </row>
    <row r="20" spans="1:16" ht="28" x14ac:dyDescent="0.35">
      <c r="A20" s="2219">
        <v>3</v>
      </c>
      <c r="B20" s="2221" t="s">
        <v>1139</v>
      </c>
      <c r="C20" s="1007" t="s">
        <v>1140</v>
      </c>
      <c r="D20" s="998">
        <v>5</v>
      </c>
      <c r="E20" s="1008">
        <v>170000000</v>
      </c>
      <c r="F20" s="1008">
        <v>32081750</v>
      </c>
      <c r="G20" s="1001">
        <f t="shared" si="2"/>
        <v>0.18871617647058825</v>
      </c>
      <c r="H20" s="1357">
        <f t="shared" si="3"/>
        <v>0.18871617647058825</v>
      </c>
      <c r="I20" s="1004"/>
      <c r="J20" s="951"/>
      <c r="K20" s="951"/>
      <c r="L20" s="951"/>
      <c r="M20" s="951"/>
      <c r="N20" s="951"/>
      <c r="O20" s="951"/>
      <c r="P20" s="951"/>
    </row>
    <row r="21" spans="1:16" ht="56" x14ac:dyDescent="0.35">
      <c r="A21" s="2219"/>
      <c r="B21" s="2221"/>
      <c r="C21" s="1007" t="s">
        <v>1439</v>
      </c>
      <c r="D21" s="998">
        <v>6</v>
      </c>
      <c r="E21" s="996">
        <v>2</v>
      </c>
      <c r="F21" s="996">
        <v>0</v>
      </c>
      <c r="G21" s="1001">
        <f t="shared" si="2"/>
        <v>0</v>
      </c>
      <c r="H21" s="1357">
        <f t="shared" si="3"/>
        <v>0</v>
      </c>
      <c r="I21" s="1009"/>
      <c r="J21" s="951"/>
      <c r="K21" s="951"/>
      <c r="L21" s="951"/>
      <c r="M21" s="951"/>
      <c r="N21" s="951"/>
      <c r="O21" s="951"/>
      <c r="P21" s="951"/>
    </row>
    <row r="22" spans="1:16" ht="42" x14ac:dyDescent="0.35">
      <c r="A22" s="2219"/>
      <c r="B22" s="2221"/>
      <c r="C22" s="1007" t="s">
        <v>1141</v>
      </c>
      <c r="D22" s="998">
        <v>7</v>
      </c>
      <c r="E22" s="1010">
        <v>340000000</v>
      </c>
      <c r="F22" s="996">
        <v>0</v>
      </c>
      <c r="G22" s="1001">
        <v>0</v>
      </c>
      <c r="H22" s="1357">
        <f t="shared" si="3"/>
        <v>0</v>
      </c>
      <c r="I22" s="1004"/>
      <c r="J22" s="951"/>
      <c r="K22" s="951"/>
      <c r="L22" s="951"/>
      <c r="M22" s="951"/>
      <c r="N22" s="951"/>
      <c r="O22" s="951"/>
      <c r="P22" s="951"/>
    </row>
    <row r="23" spans="1:16" ht="28" x14ac:dyDescent="0.35">
      <c r="A23" s="2219"/>
      <c r="B23" s="2221"/>
      <c r="C23" s="1007" t="s">
        <v>1142</v>
      </c>
      <c r="D23" s="998">
        <v>8</v>
      </c>
      <c r="E23" s="996">
        <v>10</v>
      </c>
      <c r="F23" s="996">
        <v>0</v>
      </c>
      <c r="G23" s="1001" t="s">
        <v>1420</v>
      </c>
      <c r="H23" s="1357" t="s">
        <v>660</v>
      </c>
      <c r="I23" s="1004"/>
      <c r="J23" s="951"/>
      <c r="K23" s="951"/>
      <c r="L23" s="951"/>
      <c r="M23" s="951"/>
      <c r="N23" s="951"/>
      <c r="O23" s="951"/>
      <c r="P23" s="951"/>
    </row>
    <row r="24" spans="1:16" ht="28.5" thickBot="1" x14ac:dyDescent="0.4">
      <c r="A24" s="2220"/>
      <c r="B24" s="2222"/>
      <c r="C24" s="1012" t="s">
        <v>1163</v>
      </c>
      <c r="D24" s="1013">
        <v>9</v>
      </c>
      <c r="E24" s="1011">
        <v>10</v>
      </c>
      <c r="F24" s="1011">
        <v>0</v>
      </c>
      <c r="G24" s="1014" t="s">
        <v>1420</v>
      </c>
      <c r="H24" s="1357" t="s">
        <v>660</v>
      </c>
      <c r="I24" s="1015"/>
      <c r="J24" s="951"/>
      <c r="K24" s="951"/>
      <c r="L24" s="951"/>
      <c r="M24" s="951"/>
      <c r="N24" s="951"/>
      <c r="O24" s="951"/>
      <c r="P24" s="951"/>
    </row>
    <row r="25" spans="1:16" ht="16" thickBot="1" x14ac:dyDescent="0.4">
      <c r="A25" s="1016"/>
      <c r="B25" s="1017"/>
      <c r="C25" s="991" t="s">
        <v>366</v>
      </c>
      <c r="D25" s="1018"/>
      <c r="E25" s="1017"/>
      <c r="F25" s="1017"/>
      <c r="G25" s="1019" t="s">
        <v>636</v>
      </c>
      <c r="H25" s="1352"/>
      <c r="I25" s="1020">
        <f>AVERAGE(H16:H25)</f>
        <v>0.32124516806722692</v>
      </c>
      <c r="J25" s="951"/>
      <c r="K25" s="951"/>
      <c r="L25" s="951"/>
      <c r="M25" s="951"/>
      <c r="N25" s="951"/>
      <c r="O25" s="951"/>
      <c r="P25" s="951"/>
    </row>
    <row r="26" spans="1:16" ht="16" thickBot="1" x14ac:dyDescent="0.4">
      <c r="A26" s="2199" t="s">
        <v>1143</v>
      </c>
      <c r="B26" s="2200"/>
      <c r="C26" s="2200"/>
      <c r="D26" s="2200"/>
      <c r="E26" s="2200"/>
      <c r="F26" s="2200"/>
      <c r="G26" s="2200"/>
      <c r="H26" s="2223"/>
      <c r="I26" s="2201"/>
      <c r="J26" s="951"/>
      <c r="K26" s="951"/>
      <c r="L26" s="951"/>
      <c r="M26" s="951"/>
      <c r="N26" s="951"/>
      <c r="O26" s="951"/>
      <c r="P26" s="951"/>
    </row>
    <row r="27" spans="1:16" ht="47" thickBot="1" x14ac:dyDescent="0.4">
      <c r="A27" s="2224">
        <v>1</v>
      </c>
      <c r="B27" s="2226" t="s">
        <v>1440</v>
      </c>
      <c r="C27" s="1022" t="s">
        <v>1144</v>
      </c>
      <c r="D27" s="1023">
        <v>1</v>
      </c>
      <c r="E27" s="1024">
        <v>5</v>
      </c>
      <c r="F27" s="1025">
        <v>0</v>
      </c>
      <c r="G27" s="1026" t="s">
        <v>1420</v>
      </c>
      <c r="H27" s="1357" t="s">
        <v>660</v>
      </c>
      <c r="I27" s="1996" t="s">
        <v>1573</v>
      </c>
      <c r="J27" s="951"/>
      <c r="K27" s="951"/>
      <c r="L27" s="951"/>
      <c r="M27" s="951"/>
      <c r="N27" s="951"/>
      <c r="O27" s="951"/>
      <c r="P27" s="951"/>
    </row>
    <row r="28" spans="1:16" ht="31.5" thickBot="1" x14ac:dyDescent="0.4">
      <c r="A28" s="2225"/>
      <c r="B28" s="2227"/>
      <c r="C28" s="1027" t="s">
        <v>1145</v>
      </c>
      <c r="D28" s="1028">
        <v>2</v>
      </c>
      <c r="E28" s="1029">
        <v>5</v>
      </c>
      <c r="F28" s="1030">
        <v>0</v>
      </c>
      <c r="G28" s="1031" t="s">
        <v>1420</v>
      </c>
      <c r="H28" s="1357" t="s">
        <v>660</v>
      </c>
      <c r="I28" s="1997" t="s">
        <v>1574</v>
      </c>
      <c r="J28" s="951"/>
      <c r="K28" s="951"/>
      <c r="L28" s="951"/>
      <c r="M28" s="951"/>
      <c r="N28" s="951"/>
      <c r="O28" s="951"/>
      <c r="P28" s="951"/>
    </row>
    <row r="29" spans="1:16" ht="16" thickBot="1" x14ac:dyDescent="0.4">
      <c r="A29" s="1032"/>
      <c r="B29" s="1032"/>
      <c r="C29" s="991" t="s">
        <v>366</v>
      </c>
      <c r="D29" s="1033"/>
      <c r="E29" s="1033"/>
      <c r="F29" s="1033"/>
      <c r="G29" s="1034"/>
      <c r="H29" s="1999"/>
      <c r="I29" s="1998" t="s">
        <v>1420</v>
      </c>
      <c r="J29" s="951"/>
      <c r="K29" s="951"/>
      <c r="L29" s="951"/>
      <c r="M29" s="951"/>
      <c r="N29" s="951"/>
      <c r="O29" s="951"/>
      <c r="P29" s="951"/>
    </row>
    <row r="30" spans="1:16" ht="16" thickBot="1" x14ac:dyDescent="0.4">
      <c r="A30" s="2211" t="s">
        <v>1146</v>
      </c>
      <c r="B30" s="2212"/>
      <c r="C30" s="2212"/>
      <c r="D30" s="2212"/>
      <c r="E30" s="2212"/>
      <c r="F30" s="2212"/>
      <c r="G30" s="2212"/>
      <c r="H30" s="2213"/>
      <c r="I30" s="2214"/>
      <c r="J30" s="951"/>
      <c r="K30" s="951"/>
      <c r="L30" s="951"/>
      <c r="M30" s="951"/>
      <c r="N30" s="951"/>
      <c r="O30" s="951"/>
      <c r="P30" s="951"/>
    </row>
    <row r="31" spans="1:16" ht="62" x14ac:dyDescent="0.35">
      <c r="A31" s="2215">
        <v>1</v>
      </c>
      <c r="B31" s="2217" t="s">
        <v>1147</v>
      </c>
      <c r="C31" s="1022" t="s">
        <v>1148</v>
      </c>
      <c r="D31" s="1035">
        <v>1</v>
      </c>
      <c r="E31" s="1036">
        <v>29436</v>
      </c>
      <c r="F31" s="1037">
        <v>25000</v>
      </c>
      <c r="G31" s="1038">
        <f>F31/E31</f>
        <v>0.84930017665443669</v>
      </c>
      <c r="H31" s="1359">
        <f>G31</f>
        <v>0.84930017665443669</v>
      </c>
      <c r="I31" s="1362" t="s">
        <v>1149</v>
      </c>
      <c r="J31" s="951"/>
      <c r="K31" s="951"/>
      <c r="L31" s="951"/>
      <c r="M31" s="951"/>
      <c r="N31" s="951"/>
      <c r="O31" s="951"/>
      <c r="P31" s="951"/>
    </row>
    <row r="32" spans="1:16" ht="31.5" thickBot="1" x14ac:dyDescent="0.4">
      <c r="A32" s="2216"/>
      <c r="B32" s="2218"/>
      <c r="C32" s="1027" t="s">
        <v>1150</v>
      </c>
      <c r="D32" s="1040">
        <v>2</v>
      </c>
      <c r="E32" s="1041">
        <v>1965</v>
      </c>
      <c r="F32" s="1042">
        <v>1572</v>
      </c>
      <c r="G32" s="1043">
        <f>F32/E32</f>
        <v>0.8</v>
      </c>
      <c r="H32" s="1360">
        <f>G32</f>
        <v>0.8</v>
      </c>
      <c r="I32" s="1363" t="s">
        <v>1151</v>
      </c>
      <c r="J32" s="951"/>
      <c r="K32" s="951"/>
      <c r="L32" s="951"/>
      <c r="M32" s="951"/>
      <c r="N32" s="951"/>
      <c r="O32" s="951"/>
      <c r="P32" s="951"/>
    </row>
    <row r="33" spans="1:16" ht="16" thickBot="1" x14ac:dyDescent="0.4">
      <c r="A33" s="1045"/>
      <c r="B33" s="1046"/>
      <c r="C33" s="991" t="s">
        <v>366</v>
      </c>
      <c r="D33" s="1046"/>
      <c r="E33" s="1046"/>
      <c r="F33" s="1046"/>
      <c r="G33" s="1047" t="s">
        <v>636</v>
      </c>
      <c r="H33" s="1353"/>
      <c r="I33" s="1361">
        <f>AVERAGE(H31:H32)</f>
        <v>0.82465008832721831</v>
      </c>
      <c r="J33" s="951"/>
      <c r="K33" s="951"/>
      <c r="L33" s="951"/>
      <c r="M33" s="951"/>
      <c r="N33" s="951"/>
      <c r="O33" s="951"/>
      <c r="P33" s="951"/>
    </row>
    <row r="34" spans="1:16" ht="16" thickBot="1" x14ac:dyDescent="0.4">
      <c r="A34" s="2199" t="s">
        <v>1152</v>
      </c>
      <c r="B34" s="2200"/>
      <c r="C34" s="2200"/>
      <c r="D34" s="2200"/>
      <c r="E34" s="2200"/>
      <c r="F34" s="2200"/>
      <c r="G34" s="2200"/>
      <c r="H34" s="2200"/>
      <c r="I34" s="2201"/>
      <c r="J34" s="951"/>
      <c r="K34" s="951"/>
      <c r="L34" s="951"/>
      <c r="M34" s="951"/>
      <c r="N34" s="951"/>
      <c r="O34" s="951"/>
      <c r="P34" s="951"/>
    </row>
    <row r="35" spans="1:16" ht="93.5" thickBot="1" x14ac:dyDescent="0.4">
      <c r="A35" s="1048">
        <v>1</v>
      </c>
      <c r="B35" s="1049" t="s">
        <v>1153</v>
      </c>
      <c r="C35" s="1022" t="s">
        <v>1154</v>
      </c>
      <c r="D35" s="1035">
        <v>1</v>
      </c>
      <c r="E35" s="1050">
        <v>1</v>
      </c>
      <c r="F35" s="1051">
        <v>2</v>
      </c>
      <c r="G35" s="1052">
        <f>F35/E35</f>
        <v>2</v>
      </c>
      <c r="H35" s="1364">
        <v>1.01</v>
      </c>
      <c r="I35" s="1039" t="s">
        <v>1155</v>
      </c>
      <c r="J35" s="965" t="s">
        <v>1156</v>
      </c>
      <c r="K35" s="951"/>
      <c r="L35" s="951"/>
      <c r="M35" s="951"/>
      <c r="N35" s="951"/>
      <c r="O35" s="951"/>
      <c r="P35" s="951"/>
    </row>
    <row r="36" spans="1:16" ht="92.5" customHeight="1" thickBot="1" x14ac:dyDescent="0.4">
      <c r="A36" s="1053">
        <v>2</v>
      </c>
      <c r="B36" s="1054" t="s">
        <v>1157</v>
      </c>
      <c r="C36" s="1027" t="s">
        <v>1158</v>
      </c>
      <c r="D36" s="1040">
        <v>2</v>
      </c>
      <c r="E36" s="1055">
        <v>24</v>
      </c>
      <c r="F36" s="1030">
        <v>36</v>
      </c>
      <c r="G36" s="1056">
        <f>F36/E36</f>
        <v>1.5</v>
      </c>
      <c r="H36" s="1364">
        <v>1.01</v>
      </c>
      <c r="I36" s="1044"/>
      <c r="J36" s="951"/>
      <c r="K36" s="951"/>
      <c r="L36" s="951"/>
      <c r="M36" s="951"/>
      <c r="N36" s="951"/>
      <c r="O36" s="951"/>
      <c r="P36" s="951"/>
    </row>
    <row r="37" spans="1:16" ht="16" thickBot="1" x14ac:dyDescent="0.4">
      <c r="A37" s="1057"/>
      <c r="B37" s="1058"/>
      <c r="C37" s="1059" t="s">
        <v>366</v>
      </c>
      <c r="D37" s="1058"/>
      <c r="E37" s="1058"/>
      <c r="F37" s="1058"/>
      <c r="G37" s="1060" t="s">
        <v>636</v>
      </c>
      <c r="H37" s="1364" t="s">
        <v>636</v>
      </c>
      <c r="I37" s="1365">
        <f>AVERAGE(H35:H37)</f>
        <v>1.01</v>
      </c>
      <c r="J37" s="951"/>
      <c r="K37" s="951"/>
      <c r="L37" s="951"/>
      <c r="M37" s="951"/>
      <c r="N37" s="951"/>
      <c r="O37" s="951"/>
      <c r="P37" s="951"/>
    </row>
    <row r="38" spans="1:16" ht="16" thickBot="1" x14ac:dyDescent="0.4">
      <c r="A38" s="2199" t="s">
        <v>767</v>
      </c>
      <c r="B38" s="2200"/>
      <c r="C38" s="2200"/>
      <c r="D38" s="2200"/>
      <c r="E38" s="2200"/>
      <c r="F38" s="2200"/>
      <c r="G38" s="2200"/>
      <c r="H38" s="2200"/>
      <c r="I38" s="2201"/>
      <c r="J38" s="951"/>
      <c r="K38" s="951"/>
      <c r="L38" s="951"/>
      <c r="M38" s="951"/>
      <c r="N38" s="951"/>
      <c r="O38" s="951"/>
      <c r="P38" s="951"/>
    </row>
    <row r="39" spans="1:16" ht="43.5" x14ac:dyDescent="0.35">
      <c r="A39" s="1061">
        <v>1</v>
      </c>
      <c r="B39" s="1062" t="s">
        <v>768</v>
      </c>
      <c r="C39" s="1063" t="s">
        <v>769</v>
      </c>
      <c r="D39" s="1064">
        <v>1</v>
      </c>
      <c r="E39" s="1065">
        <v>10</v>
      </c>
      <c r="F39" s="1064">
        <v>9</v>
      </c>
      <c r="G39" s="1066">
        <f>F39/E39</f>
        <v>0.9</v>
      </c>
      <c r="H39" s="1366">
        <f>G39</f>
        <v>0.9</v>
      </c>
      <c r="I39" s="1063" t="s">
        <v>1164</v>
      </c>
      <c r="J39" s="951" t="s">
        <v>1159</v>
      </c>
      <c r="K39" s="951"/>
      <c r="L39" s="951"/>
      <c r="M39" s="951"/>
      <c r="N39" s="951"/>
      <c r="O39" s="951"/>
      <c r="P39" s="951"/>
    </row>
    <row r="40" spans="1:16" ht="58.5" thickBot="1" x14ac:dyDescent="0.4">
      <c r="A40" s="1069" t="s">
        <v>1028</v>
      </c>
      <c r="B40" s="1067" t="s">
        <v>770</v>
      </c>
      <c r="C40" s="1068" t="s">
        <v>771</v>
      </c>
      <c r="D40" s="1070">
        <v>2</v>
      </c>
      <c r="E40" s="1071">
        <v>5</v>
      </c>
      <c r="F40" s="1070">
        <v>0</v>
      </c>
      <c r="G40" s="1072">
        <f>F40/E40</f>
        <v>0</v>
      </c>
      <c r="H40" s="1367">
        <f>G40</f>
        <v>0</v>
      </c>
      <c r="I40" s="1068" t="s">
        <v>1162</v>
      </c>
      <c r="J40" s="951"/>
      <c r="K40" s="951"/>
      <c r="L40" s="951"/>
      <c r="M40" s="951"/>
      <c r="N40" s="951"/>
      <c r="O40" s="951"/>
      <c r="P40" s="951"/>
    </row>
    <row r="41" spans="1:16" ht="16" thickBot="1" x14ac:dyDescent="0.4">
      <c r="A41" s="1074"/>
      <c r="B41" s="1075"/>
      <c r="C41" s="1059" t="s">
        <v>366</v>
      </c>
      <c r="D41" s="1075"/>
      <c r="E41" s="1075"/>
      <c r="F41" s="1075"/>
      <c r="G41" s="1076" t="s">
        <v>636</v>
      </c>
      <c r="H41" s="1354"/>
      <c r="I41" s="1368">
        <f>AVERAGE(H39:H40)</f>
        <v>0.45</v>
      </c>
      <c r="J41" s="951"/>
      <c r="K41" s="951"/>
      <c r="L41" s="951"/>
      <c r="M41" s="951"/>
      <c r="N41" s="951"/>
      <c r="O41" s="951"/>
      <c r="P41" s="951"/>
    </row>
    <row r="42" spans="1:16" ht="15" thickBot="1" x14ac:dyDescent="0.4">
      <c r="A42" s="2204" t="s">
        <v>772</v>
      </c>
      <c r="B42" s="2205"/>
      <c r="C42" s="2205"/>
      <c r="D42" s="2205"/>
      <c r="E42" s="2205"/>
      <c r="F42" s="2205"/>
      <c r="G42" s="2205"/>
      <c r="H42" s="2205"/>
      <c r="I42" s="2206"/>
      <c r="J42" s="951"/>
      <c r="K42" s="951"/>
      <c r="L42" s="951"/>
      <c r="M42" s="951"/>
      <c r="N42" s="951"/>
      <c r="O42" s="951"/>
      <c r="P42" s="951"/>
    </row>
    <row r="43" spans="1:16" ht="72.5" x14ac:dyDescent="0.35">
      <c r="A43" s="2207">
        <v>1</v>
      </c>
      <c r="B43" s="2209" t="s">
        <v>773</v>
      </c>
      <c r="C43" s="1078" t="s">
        <v>774</v>
      </c>
      <c r="D43" s="1077">
        <v>1</v>
      </c>
      <c r="E43" s="1079">
        <v>400000000</v>
      </c>
      <c r="F43" s="1080">
        <v>0</v>
      </c>
      <c r="G43" s="1066">
        <f>F43/E43</f>
        <v>0</v>
      </c>
      <c r="H43" s="1066">
        <f>G43</f>
        <v>0</v>
      </c>
      <c r="I43" s="1062" t="s">
        <v>1042</v>
      </c>
      <c r="J43" s="951"/>
      <c r="K43" s="951"/>
      <c r="L43" s="951"/>
      <c r="M43" s="951"/>
      <c r="N43" s="951"/>
      <c r="O43" s="951"/>
      <c r="P43" s="951"/>
    </row>
    <row r="44" spans="1:16" ht="73" thickBot="1" x14ac:dyDescent="0.4">
      <c r="A44" s="2208"/>
      <c r="B44" s="2210"/>
      <c r="C44" s="1082" t="s">
        <v>775</v>
      </c>
      <c r="D44" s="1081">
        <v>2</v>
      </c>
      <c r="E44" s="1083">
        <v>400000000</v>
      </c>
      <c r="F44" s="1084">
        <v>0</v>
      </c>
      <c r="G44" s="1085">
        <f>F44/E44</f>
        <v>0</v>
      </c>
      <c r="H44" s="1085">
        <f>G44</f>
        <v>0</v>
      </c>
      <c r="I44" s="1073" t="s">
        <v>1042</v>
      </c>
      <c r="J44" s="951"/>
      <c r="K44" s="951"/>
      <c r="L44" s="951"/>
      <c r="M44" s="951"/>
      <c r="N44" s="951"/>
      <c r="O44" s="951"/>
      <c r="P44" s="951"/>
    </row>
    <row r="45" spans="1:16" ht="16" thickBot="1" x14ac:dyDescent="0.4">
      <c r="A45" s="1086"/>
      <c r="B45" s="1087"/>
      <c r="C45" s="1059" t="s">
        <v>366</v>
      </c>
      <c r="D45" s="1088"/>
      <c r="E45" s="1089"/>
      <c r="F45" s="1075"/>
      <c r="G45" s="1076" t="s">
        <v>636</v>
      </c>
      <c r="H45" s="1090"/>
      <c r="I45" s="1372">
        <f>AVERAGE(H43:H44)</f>
        <v>0</v>
      </c>
      <c r="J45" s="951"/>
      <c r="K45" s="951"/>
      <c r="L45" s="951"/>
      <c r="M45" s="951"/>
      <c r="N45" s="951"/>
      <c r="O45" s="951"/>
      <c r="P45" s="951"/>
    </row>
    <row r="46" spans="1:16" ht="16" customHeight="1" thickBot="1" x14ac:dyDescent="0.4">
      <c r="A46" s="2196" t="s">
        <v>776</v>
      </c>
      <c r="B46" s="2197"/>
      <c r="C46" s="2197"/>
      <c r="D46" s="2197"/>
      <c r="E46" s="2197"/>
      <c r="F46" s="2197"/>
      <c r="G46" s="2197"/>
      <c r="H46" s="2197"/>
      <c r="I46" s="2198"/>
      <c r="J46" s="951"/>
      <c r="K46" s="951"/>
      <c r="L46" s="951"/>
      <c r="M46" s="951"/>
      <c r="N46" s="951"/>
      <c r="O46" s="951"/>
      <c r="P46" s="951"/>
    </row>
    <row r="47" spans="1:16" ht="58" x14ac:dyDescent="0.35">
      <c r="A47" s="2202">
        <v>1</v>
      </c>
      <c r="B47" s="2203" t="s">
        <v>777</v>
      </c>
      <c r="C47" s="1091" t="s">
        <v>1441</v>
      </c>
      <c r="D47" s="1064">
        <v>1</v>
      </c>
      <c r="E47" s="1092">
        <v>1000</v>
      </c>
      <c r="F47" s="1080">
        <v>300</v>
      </c>
      <c r="G47" s="1093">
        <f>F47/E47</f>
        <v>0.3</v>
      </c>
      <c r="H47" s="1982">
        <f>G47</f>
        <v>0.3</v>
      </c>
      <c r="I47" s="1094" t="s">
        <v>1551</v>
      </c>
      <c r="J47" s="951"/>
      <c r="K47" s="951"/>
      <c r="L47" s="951"/>
      <c r="M47" s="951"/>
      <c r="N47" s="951"/>
      <c r="O47" s="951"/>
      <c r="P47" s="951"/>
    </row>
    <row r="48" spans="1:16" ht="58.5" thickBot="1" x14ac:dyDescent="0.4">
      <c r="A48" s="2202"/>
      <c r="B48" s="2203"/>
      <c r="C48" s="1073" t="s">
        <v>778</v>
      </c>
      <c r="D48" s="1069">
        <v>2</v>
      </c>
      <c r="E48" s="1095">
        <v>250</v>
      </c>
      <c r="F48" s="1095">
        <v>0</v>
      </c>
      <c r="G48" s="1085"/>
      <c r="H48" s="1044" t="s">
        <v>660</v>
      </c>
      <c r="I48" s="1044" t="s">
        <v>660</v>
      </c>
      <c r="J48" s="951"/>
      <c r="K48" s="951"/>
      <c r="L48" s="951"/>
      <c r="M48" s="951"/>
      <c r="N48" s="951"/>
      <c r="O48" s="951"/>
      <c r="P48" s="951"/>
    </row>
    <row r="49" spans="1:16" ht="16" thickBot="1" x14ac:dyDescent="0.4">
      <c r="A49" s="1096"/>
      <c r="B49" s="1097"/>
      <c r="C49" s="1059"/>
      <c r="D49" s="1098"/>
      <c r="E49" s="1099"/>
      <c r="F49" s="1100"/>
      <c r="G49" s="1076"/>
      <c r="H49" s="1355"/>
      <c r="I49" s="1983">
        <f>AVERAGE(H47:H48)</f>
        <v>0.3</v>
      </c>
      <c r="J49" s="951"/>
      <c r="K49" s="951"/>
      <c r="L49" s="951"/>
      <c r="M49" s="951"/>
      <c r="N49" s="951"/>
      <c r="O49" s="951"/>
      <c r="P49" s="951"/>
    </row>
    <row r="50" spans="1:16" ht="19" thickBot="1" x14ac:dyDescent="0.4">
      <c r="A50" s="2196" t="s">
        <v>1445</v>
      </c>
      <c r="B50" s="2197"/>
      <c r="C50" s="2197"/>
      <c r="D50" s="2197"/>
      <c r="E50" s="2197"/>
      <c r="F50" s="2197"/>
      <c r="G50" s="2197"/>
      <c r="H50" s="2197"/>
      <c r="I50" s="2198"/>
      <c r="J50" s="951"/>
      <c r="K50" s="951"/>
      <c r="L50" s="951"/>
      <c r="M50" s="951"/>
      <c r="N50" s="951"/>
      <c r="O50" s="951"/>
      <c r="P50" s="951"/>
    </row>
    <row r="51" spans="1:16" ht="43.5" x14ac:dyDescent="0.35">
      <c r="A51" s="2202">
        <v>1</v>
      </c>
      <c r="B51" s="2203" t="s">
        <v>1446</v>
      </c>
      <c r="C51" s="1091" t="s">
        <v>1448</v>
      </c>
      <c r="D51" s="1064">
        <v>1</v>
      </c>
      <c r="E51" s="1092">
        <v>75</v>
      </c>
      <c r="F51" s="1080">
        <v>50</v>
      </c>
      <c r="G51" s="1072">
        <f>F51/E51</f>
        <v>0.66666666666666663</v>
      </c>
      <c r="H51" s="1369">
        <f>G51</f>
        <v>0.66666666666666663</v>
      </c>
      <c r="I51" s="1373" t="s">
        <v>1450</v>
      </c>
      <c r="J51" s="951" t="s">
        <v>1160</v>
      </c>
      <c r="K51" s="951"/>
      <c r="L51" s="951"/>
      <c r="M51" s="951"/>
      <c r="N51" s="951"/>
      <c r="O51" s="951"/>
      <c r="P51" s="951"/>
    </row>
    <row r="52" spans="1:16" ht="44" thickBot="1" x14ac:dyDescent="0.4">
      <c r="A52" s="2202"/>
      <c r="B52" s="2203"/>
      <c r="C52" s="1073" t="s">
        <v>1447</v>
      </c>
      <c r="D52" s="1069">
        <v>2</v>
      </c>
      <c r="E52" s="1095">
        <v>5</v>
      </c>
      <c r="F52" s="1095">
        <v>1</v>
      </c>
      <c r="G52" s="1085">
        <f>F52/E52</f>
        <v>0.2</v>
      </c>
      <c r="H52" s="1370">
        <f>G52</f>
        <v>0.2</v>
      </c>
      <c r="I52" s="1374" t="s">
        <v>1449</v>
      </c>
      <c r="J52" s="951"/>
      <c r="K52" s="951"/>
      <c r="L52" s="951"/>
      <c r="M52" s="951"/>
      <c r="N52" s="951"/>
      <c r="O52" s="951"/>
      <c r="P52" s="951"/>
    </row>
    <row r="53" spans="1:16" ht="16" thickBot="1" x14ac:dyDescent="0.4">
      <c r="A53" s="1096"/>
      <c r="B53" s="1097"/>
      <c r="C53" s="1059" t="s">
        <v>366</v>
      </c>
      <c r="D53" s="1098"/>
      <c r="E53" s="1099"/>
      <c r="F53" s="1100"/>
      <c r="G53" s="1076" t="s">
        <v>636</v>
      </c>
      <c r="H53" s="1355" t="s">
        <v>636</v>
      </c>
      <c r="I53" s="1371">
        <f>AVERAGE(H51:H52)</f>
        <v>0.43333333333333335</v>
      </c>
      <c r="J53" s="951"/>
      <c r="K53" s="951"/>
      <c r="L53" s="951"/>
      <c r="M53" s="951"/>
      <c r="N53" s="951"/>
      <c r="O53" s="951"/>
      <c r="P53" s="951"/>
    </row>
    <row r="54" spans="1:16" ht="15" thickBot="1" x14ac:dyDescent="0.4">
      <c r="J54" s="951"/>
      <c r="K54" s="951"/>
      <c r="L54" s="951"/>
      <c r="M54" s="951"/>
      <c r="N54" s="951"/>
      <c r="O54" s="951"/>
      <c r="P54" s="951"/>
    </row>
    <row r="55" spans="1:16" ht="19" thickBot="1" x14ac:dyDescent="0.4">
      <c r="A55" s="2196" t="s">
        <v>1457</v>
      </c>
      <c r="B55" s="2197"/>
      <c r="C55" s="2197"/>
      <c r="D55" s="2197"/>
      <c r="E55" s="2197"/>
      <c r="F55" s="2197"/>
      <c r="G55" s="2197"/>
      <c r="H55" s="2197"/>
      <c r="I55" s="2198"/>
      <c r="J55" s="951"/>
      <c r="K55" s="951"/>
      <c r="L55" s="951"/>
      <c r="M55" s="951"/>
      <c r="N55" s="951"/>
      <c r="O55" s="951"/>
      <c r="P55" s="951"/>
    </row>
    <row r="56" spans="1:16" ht="78" thickBot="1" x14ac:dyDescent="0.4">
      <c r="A56" s="1137">
        <v>1</v>
      </c>
      <c r="B56" s="1138" t="s">
        <v>1451</v>
      </c>
      <c r="C56" s="1091" t="s">
        <v>1453</v>
      </c>
      <c r="D56" s="1064">
        <v>1</v>
      </c>
      <c r="E56" s="1092">
        <v>30</v>
      </c>
      <c r="F56" s="1080">
        <v>10</v>
      </c>
      <c r="G56" s="1072">
        <f>F56/E56</f>
        <v>0.33333333333333331</v>
      </c>
      <c r="H56" s="1072">
        <f>G56</f>
        <v>0.33333333333333331</v>
      </c>
      <c r="I56" s="1376" t="s">
        <v>1459</v>
      </c>
      <c r="J56" s="951" t="s">
        <v>1160</v>
      </c>
      <c r="K56" s="951"/>
      <c r="L56" s="951"/>
      <c r="M56" s="951"/>
      <c r="N56" s="951"/>
      <c r="O56" s="951"/>
      <c r="P56" s="951"/>
    </row>
    <row r="57" spans="1:16" ht="44" thickBot="1" x14ac:dyDescent="0.4">
      <c r="A57" s="1137">
        <v>2</v>
      </c>
      <c r="B57" s="1138" t="s">
        <v>1452</v>
      </c>
      <c r="C57" s="1091" t="s">
        <v>1454</v>
      </c>
      <c r="D57" s="1098">
        <v>1</v>
      </c>
      <c r="E57" s="1099">
        <v>3</v>
      </c>
      <c r="F57" s="1100">
        <v>0</v>
      </c>
      <c r="G57" s="1076">
        <f>F57/E57</f>
        <v>0</v>
      </c>
      <c r="H57" s="1076">
        <f>G57</f>
        <v>0</v>
      </c>
      <c r="I57" s="1375" t="s">
        <v>1455</v>
      </c>
      <c r="J57" s="951"/>
      <c r="K57" s="951"/>
      <c r="L57" s="951"/>
      <c r="M57" s="951"/>
      <c r="N57" s="951"/>
      <c r="O57" s="951"/>
      <c r="P57" s="951"/>
    </row>
    <row r="58" spans="1:16" ht="16" thickBot="1" x14ac:dyDescent="0.4">
      <c r="A58" s="1377"/>
      <c r="B58" s="1378"/>
      <c r="C58" s="1379"/>
      <c r="D58" s="1380"/>
      <c r="E58" s="1381"/>
      <c r="F58" s="1382"/>
      <c r="G58" s="1383"/>
      <c r="H58" s="1384"/>
      <c r="I58" s="1385">
        <f>AVERAGE(H56:H57)</f>
        <v>0.16666666666666666</v>
      </c>
      <c r="J58" s="951"/>
      <c r="K58" s="951"/>
      <c r="L58" s="951"/>
      <c r="M58" s="951"/>
      <c r="N58" s="951"/>
      <c r="O58" s="951"/>
      <c r="P58" s="951"/>
    </row>
    <row r="59" spans="1:16" ht="16" thickBot="1" x14ac:dyDescent="0.4">
      <c r="A59" s="1377"/>
      <c r="B59" s="1378"/>
      <c r="C59" s="1379" t="s">
        <v>1087</v>
      </c>
      <c r="D59" s="1380"/>
      <c r="E59" s="1381"/>
      <c r="F59" s="1382"/>
      <c r="G59" s="1383" t="s">
        <v>636</v>
      </c>
      <c r="H59" s="1386">
        <f>AVERAGE(H8:H58)</f>
        <v>0.44961479680238536</v>
      </c>
      <c r="I59" s="1984" t="s">
        <v>636</v>
      </c>
      <c r="J59" s="951"/>
      <c r="K59" s="951"/>
      <c r="L59" s="951"/>
      <c r="M59" s="951"/>
      <c r="N59" s="951"/>
      <c r="O59" s="951"/>
      <c r="P59" s="951"/>
    </row>
    <row r="60" spans="1:16" x14ac:dyDescent="0.35">
      <c r="A60" s="951"/>
      <c r="B60" s="951"/>
      <c r="C60" s="951"/>
      <c r="D60" s="951"/>
      <c r="E60" s="951"/>
      <c r="F60" s="951"/>
      <c r="G60" s="951"/>
      <c r="H60" s="951"/>
      <c r="I60" s="951"/>
      <c r="J60" s="951"/>
      <c r="K60" s="951"/>
      <c r="L60" s="951"/>
      <c r="M60" s="951"/>
      <c r="N60" s="951"/>
      <c r="O60" s="951"/>
      <c r="P60" s="951"/>
    </row>
    <row r="61" spans="1:16" x14ac:dyDescent="0.35">
      <c r="A61" s="951"/>
      <c r="B61" s="951"/>
      <c r="C61" s="951"/>
      <c r="D61" s="951"/>
      <c r="E61" s="951"/>
      <c r="F61" s="951"/>
      <c r="G61" s="951"/>
      <c r="H61" s="951"/>
      <c r="I61" s="951"/>
      <c r="J61" s="951"/>
      <c r="K61" s="951"/>
      <c r="L61" s="951"/>
      <c r="M61" s="951"/>
      <c r="N61" s="951"/>
      <c r="O61" s="951"/>
      <c r="P61" s="951"/>
    </row>
    <row r="62" spans="1:16" x14ac:dyDescent="0.35">
      <c r="A62" s="951"/>
      <c r="B62" s="951"/>
      <c r="C62" s="951"/>
      <c r="D62" s="951"/>
      <c r="E62" s="951"/>
      <c r="F62" s="951"/>
      <c r="G62" s="951"/>
      <c r="H62" s="951"/>
      <c r="I62" s="951"/>
      <c r="J62" s="951"/>
      <c r="K62" s="951"/>
      <c r="L62" s="951"/>
      <c r="M62" s="951"/>
      <c r="N62" s="951"/>
      <c r="O62" s="951"/>
      <c r="P62" s="951"/>
    </row>
    <row r="63" spans="1:16" x14ac:dyDescent="0.35">
      <c r="A63" s="951"/>
      <c r="B63" s="951"/>
      <c r="C63" s="951"/>
      <c r="D63" s="951"/>
      <c r="E63" s="951"/>
      <c r="F63" s="951"/>
      <c r="G63" s="951"/>
      <c r="H63" s="951"/>
      <c r="I63" s="951"/>
      <c r="J63" s="951"/>
      <c r="K63" s="951"/>
      <c r="L63" s="951"/>
      <c r="M63" s="951"/>
      <c r="N63" s="951"/>
      <c r="O63" s="951"/>
      <c r="P63" s="951"/>
    </row>
    <row r="64" spans="1:16" x14ac:dyDescent="0.35">
      <c r="A64" s="951"/>
      <c r="B64" s="951"/>
      <c r="C64" s="951"/>
      <c r="D64" s="951"/>
      <c r="E64" s="951"/>
      <c r="F64" s="951"/>
      <c r="G64" s="951"/>
      <c r="H64" s="951"/>
      <c r="I64" s="951"/>
      <c r="J64" s="951"/>
      <c r="K64" s="951"/>
      <c r="L64" s="951"/>
      <c r="M64" s="951"/>
      <c r="N64" s="951"/>
      <c r="O64" s="951"/>
      <c r="P64" s="951"/>
    </row>
    <row r="65" spans="1:16" x14ac:dyDescent="0.35">
      <c r="A65" s="951"/>
      <c r="B65" s="951"/>
      <c r="C65" s="951"/>
      <c r="D65" s="951"/>
      <c r="E65" s="951"/>
      <c r="F65" s="951"/>
      <c r="G65" s="951"/>
      <c r="H65" s="951"/>
      <c r="I65" s="951"/>
      <c r="J65" s="951"/>
      <c r="K65" s="951"/>
      <c r="L65" s="951"/>
      <c r="M65" s="951"/>
      <c r="N65" s="951"/>
      <c r="O65" s="951"/>
      <c r="P65" s="951"/>
    </row>
    <row r="66" spans="1:16" x14ac:dyDescent="0.35">
      <c r="A66" s="951"/>
      <c r="B66" s="951"/>
      <c r="C66" s="951"/>
      <c r="D66" s="951"/>
      <c r="E66" s="951"/>
      <c r="F66" s="951"/>
      <c r="G66" s="951"/>
      <c r="H66" s="951"/>
      <c r="I66" s="951"/>
      <c r="J66" s="951"/>
      <c r="K66" s="951"/>
      <c r="L66" s="951"/>
      <c r="M66" s="951"/>
      <c r="N66" s="951"/>
      <c r="O66" s="951"/>
      <c r="P66" s="951"/>
    </row>
    <row r="67" spans="1:16" x14ac:dyDescent="0.35">
      <c r="A67" s="951"/>
      <c r="B67" s="951"/>
      <c r="C67" s="951"/>
      <c r="D67" s="951"/>
      <c r="E67" s="951"/>
      <c r="F67" s="951"/>
      <c r="G67" s="951"/>
      <c r="H67" s="951"/>
      <c r="I67" s="951"/>
      <c r="J67" s="951"/>
      <c r="K67" s="951"/>
      <c r="L67" s="951"/>
      <c r="M67" s="951"/>
      <c r="N67" s="951"/>
      <c r="O67" s="951"/>
      <c r="P67" s="951"/>
    </row>
    <row r="68" spans="1:16" x14ac:dyDescent="0.35">
      <c r="A68" s="951"/>
      <c r="B68" s="951"/>
      <c r="C68" s="951"/>
      <c r="D68" s="951"/>
      <c r="E68" s="951"/>
      <c r="F68" s="951"/>
      <c r="G68" s="951"/>
      <c r="H68" s="951"/>
      <c r="I68" s="951"/>
      <c r="J68" s="951"/>
      <c r="K68" s="951"/>
      <c r="L68" s="951"/>
      <c r="M68" s="951"/>
      <c r="N68" s="951"/>
      <c r="O68" s="951"/>
      <c r="P68" s="951"/>
    </row>
    <row r="69" spans="1:16" x14ac:dyDescent="0.35">
      <c r="A69" s="951"/>
      <c r="B69" s="951"/>
      <c r="C69" s="951"/>
      <c r="D69" s="951"/>
      <c r="E69" s="951"/>
      <c r="F69" s="951"/>
      <c r="G69" s="951"/>
      <c r="H69" s="951"/>
      <c r="I69" s="951"/>
      <c r="J69" s="951"/>
      <c r="K69" s="951"/>
      <c r="L69" s="951"/>
      <c r="M69" s="951"/>
      <c r="N69" s="951"/>
      <c r="O69" s="951"/>
      <c r="P69" s="951"/>
    </row>
    <row r="70" spans="1:16" x14ac:dyDescent="0.35">
      <c r="A70" s="951"/>
      <c r="B70" s="951"/>
      <c r="C70" s="951"/>
      <c r="D70" s="951"/>
      <c r="E70" s="951"/>
      <c r="F70" s="951"/>
      <c r="G70" s="951"/>
      <c r="H70" s="951"/>
      <c r="I70" s="951"/>
      <c r="J70" s="951"/>
      <c r="K70" s="951"/>
      <c r="L70" s="951"/>
      <c r="M70" s="951"/>
      <c r="N70" s="951"/>
      <c r="O70" s="951"/>
      <c r="P70" s="951"/>
    </row>
    <row r="71" spans="1:16" x14ac:dyDescent="0.35">
      <c r="A71" s="951"/>
      <c r="B71" s="951"/>
      <c r="C71" s="951"/>
      <c r="D71" s="951"/>
      <c r="E71" s="951"/>
      <c r="F71" s="951"/>
      <c r="G71" s="951"/>
      <c r="H71" s="951"/>
      <c r="I71" s="951"/>
      <c r="J71" s="951"/>
      <c r="K71" s="951"/>
      <c r="L71" s="951"/>
      <c r="M71" s="951"/>
      <c r="N71" s="951"/>
      <c r="O71" s="951"/>
      <c r="P71" s="951"/>
    </row>
    <row r="72" spans="1:16" x14ac:dyDescent="0.35">
      <c r="A72" s="951"/>
      <c r="B72" s="951"/>
      <c r="C72" s="951"/>
      <c r="D72" s="951"/>
      <c r="E72" s="951"/>
      <c r="F72" s="951"/>
      <c r="G72" s="951"/>
      <c r="H72" s="951"/>
      <c r="I72" s="951"/>
      <c r="J72" s="951"/>
      <c r="K72" s="951"/>
      <c r="L72" s="951"/>
      <c r="M72" s="951"/>
      <c r="N72" s="951"/>
      <c r="O72" s="951"/>
      <c r="P72" s="951"/>
    </row>
    <row r="73" spans="1:16" x14ac:dyDescent="0.35">
      <c r="A73" s="951"/>
      <c r="B73" s="951"/>
      <c r="C73" s="951"/>
      <c r="D73" s="951"/>
      <c r="E73" s="951"/>
      <c r="F73" s="951"/>
      <c r="G73" s="951"/>
      <c r="H73" s="951"/>
      <c r="I73" s="951"/>
      <c r="J73" s="951"/>
      <c r="K73" s="951"/>
      <c r="L73" s="951"/>
      <c r="M73" s="951"/>
      <c r="N73" s="951"/>
      <c r="O73" s="951"/>
      <c r="P73" s="951"/>
    </row>
    <row r="74" spans="1:16" x14ac:dyDescent="0.35">
      <c r="A74" s="951"/>
      <c r="B74" s="951"/>
      <c r="C74" s="951"/>
      <c r="D74" s="951"/>
      <c r="E74" s="951"/>
      <c r="F74" s="951"/>
      <c r="G74" s="951"/>
      <c r="H74" s="951"/>
      <c r="I74" s="951"/>
      <c r="J74" s="951"/>
      <c r="K74" s="951"/>
      <c r="L74" s="951"/>
      <c r="M74" s="951"/>
      <c r="N74" s="951"/>
      <c r="O74" s="951"/>
      <c r="P74" s="951"/>
    </row>
    <row r="75" spans="1:16" x14ac:dyDescent="0.35">
      <c r="A75" s="951"/>
      <c r="B75" s="951"/>
      <c r="C75" s="951"/>
      <c r="D75" s="951"/>
      <c r="E75" s="951"/>
      <c r="F75" s="951"/>
      <c r="G75" s="951"/>
      <c r="H75" s="951"/>
      <c r="I75" s="951"/>
      <c r="J75" s="951"/>
      <c r="K75" s="951"/>
      <c r="L75" s="951"/>
      <c r="M75" s="951"/>
      <c r="N75" s="951"/>
      <c r="O75" s="951"/>
      <c r="P75" s="951"/>
    </row>
    <row r="76" spans="1:16" x14ac:dyDescent="0.35">
      <c r="A76" s="951"/>
      <c r="B76" s="951"/>
      <c r="C76" s="951"/>
      <c r="D76" s="951"/>
      <c r="E76" s="951"/>
      <c r="F76" s="951"/>
      <c r="G76" s="951"/>
      <c r="H76" s="951"/>
      <c r="I76" s="951"/>
      <c r="J76" s="951"/>
      <c r="K76" s="951"/>
      <c r="L76" s="951"/>
      <c r="M76" s="951"/>
      <c r="N76" s="951"/>
      <c r="O76" s="951"/>
      <c r="P76" s="951"/>
    </row>
    <row r="77" spans="1:16" x14ac:dyDescent="0.35">
      <c r="A77" s="951"/>
      <c r="B77" s="951"/>
      <c r="C77" s="951"/>
      <c r="D77" s="951"/>
      <c r="E77" s="951"/>
      <c r="F77" s="951"/>
      <c r="G77" s="951"/>
      <c r="H77" s="951"/>
      <c r="I77" s="951"/>
      <c r="J77" s="951"/>
      <c r="K77" s="951"/>
      <c r="L77" s="951"/>
      <c r="M77" s="951"/>
      <c r="N77" s="951"/>
      <c r="O77" s="951"/>
      <c r="P77" s="951"/>
    </row>
    <row r="78" spans="1:16" x14ac:dyDescent="0.35">
      <c r="A78" s="951"/>
      <c r="B78" s="951"/>
      <c r="C78" s="951"/>
      <c r="D78" s="951"/>
      <c r="E78" s="951"/>
      <c r="F78" s="951"/>
      <c r="G78" s="951"/>
      <c r="H78" s="951"/>
      <c r="I78" s="951"/>
      <c r="J78" s="951"/>
      <c r="K78" s="951"/>
      <c r="L78" s="951"/>
      <c r="M78" s="951"/>
      <c r="N78" s="951"/>
      <c r="O78" s="951"/>
      <c r="P78" s="951"/>
    </row>
    <row r="79" spans="1:16" x14ac:dyDescent="0.35">
      <c r="A79" s="951"/>
      <c r="B79" s="951"/>
      <c r="C79" s="951"/>
      <c r="D79" s="951"/>
      <c r="E79" s="951"/>
      <c r="F79" s="951"/>
      <c r="G79" s="951"/>
      <c r="H79" s="951"/>
      <c r="I79" s="951"/>
      <c r="J79" s="951"/>
      <c r="K79" s="951"/>
      <c r="L79" s="951"/>
      <c r="M79" s="951"/>
      <c r="N79" s="951"/>
      <c r="O79" s="951"/>
      <c r="P79" s="951"/>
    </row>
    <row r="80" spans="1:16" x14ac:dyDescent="0.35">
      <c r="A80" s="951"/>
      <c r="B80" s="951"/>
      <c r="C80" s="951"/>
      <c r="D80" s="951"/>
      <c r="E80" s="951"/>
      <c r="F80" s="951"/>
      <c r="G80" s="951"/>
      <c r="H80" s="951"/>
      <c r="I80" s="951"/>
      <c r="J80" s="951"/>
      <c r="K80" s="951"/>
      <c r="L80" s="951"/>
      <c r="M80" s="951"/>
      <c r="N80" s="951"/>
      <c r="O80" s="951"/>
      <c r="P80" s="951"/>
    </row>
    <row r="81" spans="1:16" x14ac:dyDescent="0.35">
      <c r="A81" s="951"/>
      <c r="B81" s="951"/>
      <c r="C81" s="951"/>
      <c r="D81" s="951"/>
      <c r="E81" s="951"/>
      <c r="F81" s="951"/>
      <c r="G81" s="951"/>
      <c r="H81" s="951"/>
      <c r="I81" s="951"/>
      <c r="J81" s="951"/>
      <c r="K81" s="951"/>
      <c r="L81" s="951"/>
      <c r="M81" s="951"/>
      <c r="N81" s="951"/>
      <c r="O81" s="951"/>
      <c r="P81" s="951"/>
    </row>
    <row r="82" spans="1:16" x14ac:dyDescent="0.35">
      <c r="A82" s="951"/>
      <c r="B82" s="951"/>
      <c r="C82" s="951"/>
      <c r="D82" s="951"/>
      <c r="E82" s="951"/>
      <c r="F82" s="951"/>
      <c r="G82" s="951"/>
      <c r="H82" s="951"/>
      <c r="I82" s="951"/>
      <c r="J82" s="951"/>
      <c r="K82" s="951"/>
      <c r="L82" s="951"/>
      <c r="M82" s="951"/>
      <c r="N82" s="951"/>
      <c r="O82" s="951"/>
      <c r="P82" s="951"/>
    </row>
    <row r="83" spans="1:16" x14ac:dyDescent="0.35">
      <c r="A83" s="951"/>
      <c r="B83" s="951"/>
      <c r="C83" s="951"/>
      <c r="D83" s="951"/>
      <c r="E83" s="951"/>
      <c r="F83" s="951"/>
      <c r="G83" s="951"/>
      <c r="H83" s="951"/>
      <c r="I83" s="951"/>
      <c r="J83" s="951"/>
      <c r="K83" s="951"/>
      <c r="L83" s="951"/>
      <c r="M83" s="951"/>
      <c r="N83" s="951"/>
      <c r="O83" s="951"/>
      <c r="P83" s="951"/>
    </row>
    <row r="84" spans="1:16" x14ac:dyDescent="0.35">
      <c r="A84" s="951"/>
      <c r="B84" s="951"/>
      <c r="C84" s="951"/>
      <c r="D84" s="951"/>
      <c r="E84" s="951"/>
      <c r="F84" s="951"/>
      <c r="G84" s="951"/>
      <c r="H84" s="951"/>
      <c r="I84" s="951"/>
      <c r="J84" s="951"/>
      <c r="K84" s="951"/>
      <c r="L84" s="951"/>
      <c r="M84" s="951"/>
      <c r="N84" s="951"/>
      <c r="O84" s="951"/>
      <c r="P84" s="951"/>
    </row>
    <row r="85" spans="1:16" x14ac:dyDescent="0.35">
      <c r="A85" s="951"/>
      <c r="B85" s="951"/>
      <c r="C85" s="951"/>
      <c r="D85" s="951"/>
      <c r="E85" s="951"/>
      <c r="F85" s="951"/>
      <c r="G85" s="951"/>
      <c r="H85" s="951"/>
      <c r="I85" s="951"/>
      <c r="J85" s="951"/>
      <c r="K85" s="951"/>
      <c r="L85" s="951"/>
      <c r="M85" s="951"/>
      <c r="N85" s="951"/>
      <c r="O85" s="951"/>
      <c r="P85" s="951"/>
    </row>
    <row r="86" spans="1:16" x14ac:dyDescent="0.35">
      <c r="A86" s="951"/>
      <c r="B86" s="951"/>
      <c r="C86" s="951"/>
      <c r="D86" s="951"/>
      <c r="E86" s="951"/>
      <c r="F86" s="951"/>
      <c r="G86" s="951"/>
      <c r="H86" s="951"/>
      <c r="I86" s="951"/>
      <c r="J86" s="951"/>
      <c r="K86" s="951"/>
      <c r="L86" s="951"/>
      <c r="M86" s="951"/>
      <c r="N86" s="951"/>
      <c r="O86" s="951"/>
      <c r="P86" s="951"/>
    </row>
    <row r="87" spans="1:16" x14ac:dyDescent="0.35">
      <c r="A87" s="951"/>
      <c r="B87" s="951"/>
      <c r="C87" s="951"/>
      <c r="D87" s="951"/>
      <c r="E87" s="951"/>
      <c r="F87" s="951"/>
      <c r="G87" s="951"/>
      <c r="H87" s="951"/>
      <c r="I87" s="951"/>
      <c r="J87" s="951"/>
      <c r="K87" s="951"/>
      <c r="L87" s="951"/>
      <c r="M87" s="951"/>
      <c r="N87" s="951"/>
      <c r="O87" s="951"/>
      <c r="P87" s="951"/>
    </row>
    <row r="88" spans="1:16" x14ac:dyDescent="0.35">
      <c r="A88" s="951"/>
      <c r="B88" s="951"/>
      <c r="C88" s="951"/>
      <c r="D88" s="951"/>
      <c r="E88" s="951"/>
      <c r="F88" s="951"/>
      <c r="G88" s="951"/>
      <c r="H88" s="951"/>
      <c r="I88" s="951"/>
      <c r="J88" s="951"/>
      <c r="K88" s="951"/>
      <c r="L88" s="951"/>
      <c r="M88" s="951"/>
      <c r="N88" s="951"/>
      <c r="O88" s="951"/>
      <c r="P88" s="951"/>
    </row>
    <row r="89" spans="1:16" x14ac:dyDescent="0.35">
      <c r="A89" s="951"/>
      <c r="B89" s="951"/>
      <c r="C89" s="951"/>
      <c r="D89" s="951"/>
      <c r="E89" s="951"/>
      <c r="F89" s="951"/>
      <c r="G89" s="951"/>
      <c r="H89" s="951"/>
      <c r="I89" s="951"/>
      <c r="J89" s="951"/>
      <c r="K89" s="951"/>
      <c r="L89" s="951"/>
      <c r="M89" s="951"/>
      <c r="N89" s="951"/>
      <c r="O89" s="951"/>
      <c r="P89" s="951"/>
    </row>
    <row r="90" spans="1:16" x14ac:dyDescent="0.35">
      <c r="A90" s="951"/>
      <c r="B90" s="951"/>
      <c r="C90" s="951"/>
      <c r="D90" s="951"/>
      <c r="E90" s="951"/>
      <c r="F90" s="951"/>
      <c r="G90" s="951"/>
      <c r="H90" s="951"/>
      <c r="I90" s="951"/>
      <c r="J90" s="951"/>
      <c r="K90" s="951"/>
      <c r="L90" s="951"/>
      <c r="M90" s="951"/>
      <c r="N90" s="951"/>
      <c r="O90" s="951"/>
      <c r="P90" s="951"/>
    </row>
    <row r="91" spans="1:16" x14ac:dyDescent="0.35">
      <c r="A91" s="951"/>
      <c r="B91" s="951"/>
      <c r="C91" s="951"/>
      <c r="D91" s="951"/>
      <c r="E91" s="951"/>
      <c r="F91" s="951"/>
      <c r="G91" s="951"/>
      <c r="H91" s="951"/>
      <c r="I91" s="951"/>
      <c r="J91" s="951"/>
      <c r="K91" s="951"/>
      <c r="L91" s="951"/>
      <c r="M91" s="951"/>
      <c r="N91" s="951"/>
      <c r="O91" s="951"/>
      <c r="P91" s="951"/>
    </row>
    <row r="92" spans="1:16" x14ac:dyDescent="0.35">
      <c r="A92" s="951"/>
      <c r="B92" s="951"/>
      <c r="C92" s="951"/>
      <c r="D92" s="951"/>
      <c r="E92" s="951"/>
      <c r="F92" s="951"/>
      <c r="G92" s="951"/>
      <c r="H92" s="951"/>
      <c r="I92" s="951"/>
      <c r="J92" s="951"/>
      <c r="K92" s="951"/>
      <c r="L92" s="951"/>
      <c r="M92" s="951"/>
      <c r="N92" s="951"/>
      <c r="O92" s="951"/>
      <c r="P92" s="951"/>
    </row>
    <row r="93" spans="1:16" x14ac:dyDescent="0.35">
      <c r="A93" s="951"/>
      <c r="B93" s="951"/>
      <c r="C93" s="951"/>
      <c r="D93" s="951"/>
      <c r="E93" s="951"/>
      <c r="F93" s="951"/>
      <c r="G93" s="951"/>
      <c r="H93" s="951"/>
      <c r="I93" s="951"/>
      <c r="J93" s="951"/>
      <c r="K93" s="951"/>
      <c r="L93" s="951"/>
      <c r="M93" s="951"/>
      <c r="N93" s="951"/>
      <c r="O93" s="951"/>
      <c r="P93" s="951"/>
    </row>
    <row r="94" spans="1:16" x14ac:dyDescent="0.35">
      <c r="A94" s="951"/>
      <c r="B94" s="951"/>
      <c r="C94" s="951"/>
      <c r="D94" s="951"/>
      <c r="E94" s="951"/>
      <c r="F94" s="951"/>
      <c r="G94" s="951"/>
      <c r="H94" s="951"/>
      <c r="I94" s="951"/>
      <c r="J94" s="951"/>
      <c r="K94" s="951"/>
      <c r="L94" s="951"/>
      <c r="M94" s="951"/>
      <c r="N94" s="951"/>
      <c r="O94" s="951"/>
      <c r="P94" s="951"/>
    </row>
    <row r="95" spans="1:16" x14ac:dyDescent="0.35">
      <c r="A95" s="951"/>
      <c r="B95" s="951"/>
      <c r="C95" s="951"/>
      <c r="D95" s="951"/>
      <c r="E95" s="951"/>
      <c r="F95" s="951"/>
      <c r="G95" s="951"/>
      <c r="H95" s="951"/>
      <c r="I95" s="951"/>
      <c r="J95" s="951"/>
      <c r="K95" s="951"/>
      <c r="L95" s="951"/>
      <c r="M95" s="951"/>
      <c r="N95" s="951"/>
      <c r="O95" s="951"/>
      <c r="P95" s="951"/>
    </row>
    <row r="96" spans="1:16" x14ac:dyDescent="0.35">
      <c r="A96" s="951"/>
      <c r="B96" s="951"/>
      <c r="C96" s="951"/>
      <c r="D96" s="951"/>
      <c r="E96" s="951"/>
      <c r="F96" s="951"/>
      <c r="G96" s="951"/>
      <c r="H96" s="951"/>
      <c r="I96" s="951"/>
      <c r="J96" s="951"/>
      <c r="K96" s="951"/>
      <c r="L96" s="951"/>
      <c r="M96" s="951"/>
      <c r="N96" s="951"/>
      <c r="O96" s="951"/>
      <c r="P96" s="951"/>
    </row>
    <row r="97" spans="1:16" x14ac:dyDescent="0.35">
      <c r="A97" s="951"/>
      <c r="B97" s="951"/>
      <c r="C97" s="951"/>
      <c r="D97" s="951"/>
      <c r="E97" s="951"/>
      <c r="F97" s="951"/>
      <c r="G97" s="951"/>
      <c r="H97" s="951"/>
      <c r="I97" s="951"/>
      <c r="J97" s="951"/>
      <c r="K97" s="951"/>
      <c r="L97" s="951"/>
      <c r="M97" s="951"/>
      <c r="N97" s="951"/>
      <c r="O97" s="951"/>
      <c r="P97" s="951"/>
    </row>
    <row r="98" spans="1:16" x14ac:dyDescent="0.35">
      <c r="A98" s="951"/>
      <c r="B98" s="951"/>
      <c r="C98" s="951"/>
      <c r="D98" s="951"/>
      <c r="E98" s="951"/>
      <c r="F98" s="951"/>
      <c r="G98" s="951"/>
      <c r="H98" s="951"/>
      <c r="I98" s="951"/>
      <c r="J98" s="951"/>
      <c r="K98" s="951"/>
      <c r="L98" s="951"/>
      <c r="M98" s="951"/>
      <c r="N98" s="951"/>
      <c r="O98" s="951"/>
      <c r="P98" s="951"/>
    </row>
    <row r="99" spans="1:16" x14ac:dyDescent="0.35">
      <c r="A99" s="951"/>
      <c r="B99" s="951"/>
      <c r="C99" s="951"/>
      <c r="D99" s="951"/>
      <c r="E99" s="951"/>
      <c r="F99" s="951"/>
      <c r="G99" s="951"/>
      <c r="H99" s="951"/>
      <c r="I99" s="951"/>
      <c r="J99" s="951"/>
      <c r="K99" s="951"/>
      <c r="L99" s="951"/>
      <c r="M99" s="951"/>
      <c r="N99" s="951"/>
      <c r="O99" s="951"/>
      <c r="P99" s="951"/>
    </row>
    <row r="100" spans="1:16" x14ac:dyDescent="0.35">
      <c r="A100" s="951"/>
      <c r="B100" s="951"/>
      <c r="C100" s="951"/>
      <c r="D100" s="951"/>
      <c r="E100" s="951"/>
      <c r="F100" s="951"/>
      <c r="G100" s="951"/>
      <c r="H100" s="951"/>
      <c r="I100" s="951"/>
      <c r="J100" s="951"/>
      <c r="K100" s="951"/>
      <c r="L100" s="951"/>
      <c r="M100" s="951"/>
      <c r="N100" s="951"/>
      <c r="O100" s="951"/>
      <c r="P100" s="951"/>
    </row>
    <row r="101" spans="1:16" x14ac:dyDescent="0.35">
      <c r="A101" s="951"/>
      <c r="B101" s="951"/>
      <c r="C101" s="951"/>
      <c r="D101" s="951"/>
      <c r="E101" s="951"/>
      <c r="F101" s="951"/>
      <c r="G101" s="951"/>
      <c r="H101" s="951"/>
      <c r="I101" s="951"/>
      <c r="J101" s="951"/>
      <c r="K101" s="951"/>
      <c r="L101" s="951"/>
      <c r="M101" s="951"/>
      <c r="N101" s="951"/>
      <c r="O101" s="951"/>
      <c r="P101" s="951"/>
    </row>
    <row r="102" spans="1:16" x14ac:dyDescent="0.35">
      <c r="A102" s="951"/>
      <c r="B102" s="951"/>
      <c r="C102" s="951"/>
      <c r="D102" s="951"/>
      <c r="E102" s="951"/>
      <c r="F102" s="951"/>
      <c r="G102" s="951"/>
      <c r="H102" s="951"/>
      <c r="I102" s="951"/>
      <c r="J102" s="951"/>
      <c r="K102" s="951"/>
      <c r="L102" s="951"/>
      <c r="M102" s="951"/>
      <c r="N102" s="951"/>
      <c r="O102" s="951"/>
      <c r="P102" s="951"/>
    </row>
    <row r="103" spans="1:16" x14ac:dyDescent="0.35">
      <c r="A103" s="951"/>
      <c r="B103" s="951"/>
      <c r="C103" s="951"/>
      <c r="D103" s="951"/>
      <c r="E103" s="951"/>
      <c r="F103" s="951"/>
      <c r="G103" s="951"/>
      <c r="H103" s="951"/>
      <c r="I103" s="951"/>
      <c r="J103" s="951"/>
      <c r="K103" s="951"/>
      <c r="L103" s="951"/>
      <c r="M103" s="951"/>
      <c r="N103" s="951"/>
      <c r="O103" s="951"/>
      <c r="P103" s="951"/>
    </row>
    <row r="104" spans="1:16" x14ac:dyDescent="0.35">
      <c r="A104" s="951"/>
      <c r="B104" s="951"/>
      <c r="C104" s="951"/>
      <c r="D104" s="951"/>
      <c r="E104" s="951"/>
      <c r="F104" s="951"/>
      <c r="G104" s="951"/>
      <c r="H104" s="951"/>
      <c r="I104" s="951"/>
      <c r="J104" s="951"/>
      <c r="K104" s="951"/>
      <c r="L104" s="951"/>
      <c r="M104" s="951"/>
      <c r="N104" s="951"/>
      <c r="O104" s="951"/>
      <c r="P104" s="951"/>
    </row>
    <row r="105" spans="1:16" x14ac:dyDescent="0.35">
      <c r="A105" s="951"/>
      <c r="B105" s="951"/>
      <c r="C105" s="951"/>
      <c r="D105" s="951"/>
      <c r="E105" s="951"/>
      <c r="F105" s="951"/>
      <c r="G105" s="951"/>
      <c r="H105" s="951"/>
      <c r="I105" s="951"/>
      <c r="J105" s="951"/>
      <c r="K105" s="951"/>
      <c r="L105" s="951"/>
      <c r="M105" s="951"/>
      <c r="N105" s="951"/>
      <c r="O105" s="951"/>
      <c r="P105" s="951"/>
    </row>
    <row r="106" spans="1:16" x14ac:dyDescent="0.35">
      <c r="A106" s="951"/>
      <c r="B106" s="951"/>
      <c r="C106" s="951"/>
      <c r="D106" s="951"/>
      <c r="E106" s="951"/>
      <c r="F106" s="951"/>
      <c r="G106" s="951"/>
      <c r="H106" s="951"/>
      <c r="I106" s="951"/>
      <c r="J106" s="951"/>
      <c r="K106" s="951"/>
      <c r="L106" s="951"/>
      <c r="M106" s="951"/>
      <c r="N106" s="951"/>
      <c r="O106" s="951"/>
      <c r="P106" s="951"/>
    </row>
    <row r="107" spans="1:16" x14ac:dyDescent="0.35">
      <c r="A107" s="951"/>
      <c r="B107" s="951"/>
      <c r="C107" s="951"/>
      <c r="D107" s="951"/>
      <c r="E107" s="951"/>
      <c r="F107" s="951"/>
      <c r="G107" s="951"/>
      <c r="H107" s="951"/>
      <c r="I107" s="951"/>
      <c r="J107" s="951"/>
      <c r="K107" s="951"/>
      <c r="L107" s="951"/>
      <c r="M107" s="951"/>
      <c r="N107" s="951"/>
      <c r="O107" s="951"/>
      <c r="P107" s="951"/>
    </row>
    <row r="108" spans="1:16" x14ac:dyDescent="0.35">
      <c r="A108" s="951"/>
      <c r="B108" s="951"/>
      <c r="C108" s="951"/>
      <c r="D108" s="951"/>
      <c r="E108" s="951"/>
      <c r="F108" s="951"/>
      <c r="G108" s="951"/>
      <c r="H108" s="951"/>
      <c r="I108" s="951"/>
      <c r="J108" s="951"/>
      <c r="K108" s="951"/>
      <c r="L108" s="951"/>
      <c r="M108" s="951"/>
      <c r="N108" s="951"/>
      <c r="O108" s="951"/>
      <c r="P108" s="951"/>
    </row>
    <row r="109" spans="1:16" x14ac:dyDescent="0.35">
      <c r="A109" s="951"/>
      <c r="B109" s="951"/>
      <c r="C109" s="951"/>
      <c r="D109" s="951"/>
      <c r="E109" s="951"/>
      <c r="F109" s="951"/>
      <c r="G109" s="951"/>
      <c r="H109" s="951"/>
      <c r="I109" s="951"/>
      <c r="J109" s="951"/>
      <c r="K109" s="951"/>
      <c r="L109" s="951"/>
      <c r="M109" s="951"/>
      <c r="N109" s="951"/>
      <c r="O109" s="951"/>
      <c r="P109" s="951"/>
    </row>
    <row r="110" spans="1:16" x14ac:dyDescent="0.35">
      <c r="A110" s="951"/>
      <c r="B110" s="951"/>
      <c r="C110" s="951"/>
      <c r="D110" s="951"/>
      <c r="E110" s="951"/>
      <c r="F110" s="951"/>
      <c r="G110" s="951"/>
      <c r="H110" s="951"/>
      <c r="I110" s="951"/>
      <c r="J110" s="951"/>
      <c r="K110" s="951"/>
      <c r="L110" s="951"/>
      <c r="M110" s="951"/>
      <c r="N110" s="951"/>
      <c r="O110" s="951"/>
      <c r="P110" s="951"/>
    </row>
    <row r="111" spans="1:16" x14ac:dyDescent="0.35">
      <c r="A111" s="951"/>
      <c r="B111" s="951"/>
      <c r="C111" s="951"/>
      <c r="D111" s="951"/>
      <c r="E111" s="951"/>
      <c r="F111" s="951"/>
      <c r="G111" s="951"/>
      <c r="H111" s="951"/>
      <c r="I111" s="951"/>
      <c r="J111" s="951"/>
      <c r="K111" s="951"/>
      <c r="L111" s="951"/>
      <c r="M111" s="951"/>
      <c r="N111" s="951"/>
      <c r="O111" s="951"/>
      <c r="P111" s="951"/>
    </row>
    <row r="112" spans="1:16" x14ac:dyDescent="0.35">
      <c r="A112" s="951"/>
      <c r="B112" s="951"/>
      <c r="C112" s="951"/>
      <c r="D112" s="951"/>
      <c r="E112" s="951"/>
      <c r="F112" s="951"/>
      <c r="G112" s="951"/>
      <c r="H112" s="951"/>
      <c r="I112" s="951"/>
      <c r="J112" s="951"/>
      <c r="K112" s="951"/>
      <c r="L112" s="951"/>
      <c r="M112" s="951"/>
      <c r="N112" s="951"/>
      <c r="O112" s="951"/>
      <c r="P112" s="951"/>
    </row>
    <row r="113" spans="1:16" x14ac:dyDescent="0.35">
      <c r="A113" s="951"/>
      <c r="B113" s="951"/>
      <c r="C113" s="951"/>
      <c r="D113" s="951"/>
      <c r="E113" s="951"/>
      <c r="F113" s="951"/>
      <c r="G113" s="951"/>
      <c r="H113" s="951"/>
      <c r="I113" s="951"/>
      <c r="J113" s="951"/>
      <c r="K113" s="951"/>
      <c r="L113" s="951"/>
      <c r="M113" s="951"/>
      <c r="N113" s="951"/>
      <c r="O113" s="951"/>
      <c r="P113" s="951"/>
    </row>
    <row r="114" spans="1:16" x14ac:dyDescent="0.35">
      <c r="A114" s="951"/>
      <c r="B114" s="951"/>
      <c r="C114" s="951"/>
      <c r="D114" s="951"/>
      <c r="E114" s="951"/>
      <c r="F114" s="951"/>
      <c r="G114" s="951"/>
      <c r="H114" s="951"/>
      <c r="I114" s="951"/>
      <c r="J114" s="951"/>
      <c r="K114" s="951"/>
      <c r="L114" s="951"/>
      <c r="M114" s="951"/>
      <c r="N114" s="951"/>
      <c r="O114" s="951"/>
      <c r="P114" s="951"/>
    </row>
    <row r="115" spans="1:16" x14ac:dyDescent="0.35">
      <c r="A115" s="951"/>
      <c r="B115" s="951"/>
      <c r="C115" s="951"/>
      <c r="D115" s="951"/>
      <c r="E115" s="951"/>
      <c r="F115" s="951"/>
      <c r="G115" s="951"/>
      <c r="H115" s="951"/>
      <c r="I115" s="951"/>
      <c r="J115" s="951"/>
      <c r="K115" s="951"/>
      <c r="L115" s="951"/>
      <c r="M115" s="951"/>
      <c r="N115" s="951"/>
      <c r="O115" s="951"/>
      <c r="P115" s="951"/>
    </row>
    <row r="116" spans="1:16" x14ac:dyDescent="0.35">
      <c r="A116" s="951"/>
      <c r="B116" s="951"/>
      <c r="C116" s="951"/>
      <c r="D116" s="951"/>
      <c r="E116" s="951"/>
      <c r="F116" s="951"/>
      <c r="G116" s="951"/>
      <c r="H116" s="951"/>
      <c r="I116" s="951"/>
      <c r="J116" s="951"/>
      <c r="K116" s="951"/>
      <c r="L116" s="951"/>
      <c r="M116" s="951"/>
      <c r="N116" s="951"/>
      <c r="O116" s="951"/>
      <c r="P116" s="951"/>
    </row>
    <row r="117" spans="1:16" x14ac:dyDescent="0.35">
      <c r="A117" s="951"/>
      <c r="B117" s="951"/>
      <c r="C117" s="951"/>
      <c r="D117" s="951"/>
      <c r="E117" s="951"/>
      <c r="F117" s="951"/>
      <c r="G117" s="951"/>
      <c r="H117" s="951"/>
      <c r="I117" s="951"/>
      <c r="J117" s="951"/>
      <c r="K117" s="951"/>
      <c r="L117" s="951"/>
      <c r="M117" s="951"/>
      <c r="N117" s="951"/>
      <c r="O117" s="951"/>
      <c r="P117" s="951"/>
    </row>
    <row r="118" spans="1:16" x14ac:dyDescent="0.35">
      <c r="A118" s="951"/>
      <c r="B118" s="951"/>
      <c r="C118" s="951"/>
      <c r="D118" s="951"/>
      <c r="E118" s="951"/>
      <c r="F118" s="951"/>
      <c r="G118" s="951"/>
      <c r="H118" s="951"/>
      <c r="I118" s="951"/>
      <c r="J118" s="951"/>
      <c r="K118" s="951"/>
      <c r="L118" s="951"/>
      <c r="M118" s="951"/>
      <c r="N118" s="951"/>
      <c r="O118" s="951"/>
      <c r="P118" s="951"/>
    </row>
    <row r="119" spans="1:16" x14ac:dyDescent="0.35">
      <c r="A119" s="951"/>
      <c r="B119" s="951"/>
      <c r="C119" s="951"/>
      <c r="D119" s="951"/>
      <c r="E119" s="951"/>
      <c r="F119" s="951"/>
      <c r="G119" s="951"/>
      <c r="H119" s="951"/>
      <c r="I119" s="951"/>
      <c r="J119" s="951"/>
      <c r="K119" s="951"/>
      <c r="L119" s="951"/>
      <c r="M119" s="951"/>
      <c r="N119" s="951"/>
      <c r="O119" s="951"/>
      <c r="P119" s="951"/>
    </row>
    <row r="120" spans="1:16" x14ac:dyDescent="0.35">
      <c r="A120" s="951"/>
      <c r="B120" s="951"/>
      <c r="C120" s="951"/>
      <c r="D120" s="951"/>
      <c r="E120" s="951"/>
      <c r="F120" s="951"/>
      <c r="G120" s="951"/>
      <c r="H120" s="951"/>
      <c r="I120" s="951"/>
      <c r="J120" s="951"/>
      <c r="K120" s="951"/>
      <c r="L120" s="951"/>
      <c r="M120" s="951"/>
      <c r="N120" s="951"/>
      <c r="O120" s="951"/>
      <c r="P120" s="951"/>
    </row>
    <row r="121" spans="1:16" x14ac:dyDescent="0.35">
      <c r="A121" s="951"/>
      <c r="B121" s="951"/>
      <c r="C121" s="951"/>
      <c r="D121" s="951"/>
      <c r="E121" s="951"/>
      <c r="F121" s="951"/>
      <c r="G121" s="951"/>
      <c r="H121" s="951"/>
      <c r="I121" s="951"/>
      <c r="J121" s="951"/>
      <c r="K121" s="951"/>
      <c r="L121" s="951"/>
      <c r="M121" s="951"/>
      <c r="N121" s="951"/>
      <c r="O121" s="951"/>
      <c r="P121" s="951"/>
    </row>
    <row r="122" spans="1:16" x14ac:dyDescent="0.35">
      <c r="A122" s="951"/>
      <c r="B122" s="951"/>
      <c r="C122" s="951"/>
      <c r="D122" s="951"/>
      <c r="E122" s="951"/>
      <c r="F122" s="951"/>
      <c r="G122" s="951"/>
      <c r="H122" s="951"/>
      <c r="I122" s="951"/>
      <c r="J122" s="951"/>
      <c r="K122" s="951"/>
      <c r="L122" s="951"/>
      <c r="M122" s="951"/>
      <c r="N122" s="951"/>
      <c r="O122" s="951"/>
      <c r="P122" s="951"/>
    </row>
    <row r="123" spans="1:16" x14ac:dyDescent="0.35">
      <c r="A123" s="951"/>
      <c r="B123" s="951"/>
      <c r="C123" s="951"/>
      <c r="D123" s="951"/>
      <c r="E123" s="951"/>
      <c r="F123" s="951"/>
      <c r="G123" s="951"/>
      <c r="H123" s="951"/>
      <c r="I123" s="951"/>
      <c r="J123" s="951"/>
      <c r="K123" s="951"/>
      <c r="L123" s="951"/>
      <c r="M123" s="951"/>
      <c r="N123" s="951"/>
      <c r="O123" s="951"/>
      <c r="P123" s="951"/>
    </row>
    <row r="124" spans="1:16" x14ac:dyDescent="0.35">
      <c r="A124" s="951"/>
      <c r="B124" s="951"/>
      <c r="C124" s="951"/>
      <c r="D124" s="951"/>
      <c r="E124" s="951"/>
      <c r="F124" s="951"/>
      <c r="G124" s="951"/>
      <c r="H124" s="951"/>
      <c r="I124" s="951"/>
      <c r="J124" s="951"/>
      <c r="K124" s="951"/>
      <c r="L124" s="951"/>
      <c r="M124" s="951"/>
      <c r="N124" s="951"/>
      <c r="O124" s="951"/>
      <c r="P124" s="951"/>
    </row>
    <row r="125" spans="1:16" x14ac:dyDescent="0.35">
      <c r="A125" s="951"/>
      <c r="B125" s="951"/>
      <c r="C125" s="951"/>
      <c r="D125" s="951"/>
      <c r="E125" s="951"/>
      <c r="F125" s="951"/>
      <c r="G125" s="951"/>
      <c r="H125" s="951"/>
      <c r="I125" s="951"/>
      <c r="J125" s="951"/>
      <c r="K125" s="951"/>
      <c r="L125" s="951"/>
      <c r="M125" s="951"/>
      <c r="N125" s="951"/>
      <c r="O125" s="951"/>
      <c r="P125" s="951"/>
    </row>
    <row r="126" spans="1:16" x14ac:dyDescent="0.35">
      <c r="A126" s="951"/>
      <c r="B126" s="951"/>
      <c r="C126" s="951"/>
      <c r="D126" s="951"/>
      <c r="E126" s="951"/>
      <c r="F126" s="951"/>
      <c r="G126" s="951"/>
      <c r="H126" s="951"/>
      <c r="I126" s="951"/>
      <c r="J126" s="951"/>
      <c r="K126" s="951"/>
      <c r="L126" s="951"/>
      <c r="M126" s="951"/>
      <c r="N126" s="951"/>
      <c r="O126" s="951"/>
      <c r="P126" s="951"/>
    </row>
    <row r="127" spans="1:16" x14ac:dyDescent="0.35">
      <c r="A127" s="951"/>
      <c r="B127" s="951"/>
      <c r="C127" s="951"/>
      <c r="D127" s="951"/>
      <c r="E127" s="951"/>
      <c r="F127" s="951"/>
      <c r="G127" s="951"/>
      <c r="H127" s="951"/>
      <c r="I127" s="951"/>
      <c r="J127" s="951"/>
      <c r="K127" s="951"/>
      <c r="L127" s="951"/>
      <c r="M127" s="951"/>
      <c r="N127" s="951"/>
      <c r="O127" s="951"/>
      <c r="P127" s="951"/>
    </row>
    <row r="128" spans="1:16" x14ac:dyDescent="0.35">
      <c r="A128" s="951"/>
      <c r="B128" s="951"/>
      <c r="C128" s="951"/>
      <c r="D128" s="951"/>
      <c r="E128" s="951"/>
      <c r="F128" s="951"/>
      <c r="G128" s="951"/>
      <c r="H128" s="951"/>
      <c r="I128" s="951"/>
      <c r="J128" s="951"/>
      <c r="K128" s="951"/>
      <c r="L128" s="951"/>
      <c r="M128" s="951"/>
      <c r="N128" s="951"/>
      <c r="O128" s="951"/>
      <c r="P128" s="951"/>
    </row>
    <row r="129" spans="1:16" x14ac:dyDescent="0.35">
      <c r="A129" s="951"/>
      <c r="B129" s="951"/>
      <c r="C129" s="951"/>
      <c r="D129" s="951"/>
      <c r="E129" s="951"/>
      <c r="F129" s="951"/>
      <c r="G129" s="951"/>
      <c r="H129" s="951"/>
      <c r="I129" s="951"/>
      <c r="J129" s="951"/>
      <c r="K129" s="951"/>
      <c r="L129" s="951"/>
      <c r="M129" s="951"/>
      <c r="N129" s="951"/>
      <c r="O129" s="951"/>
      <c r="P129" s="951"/>
    </row>
    <row r="130" spans="1:16" x14ac:dyDescent="0.35">
      <c r="A130" s="951"/>
      <c r="B130" s="951"/>
      <c r="C130" s="951"/>
      <c r="D130" s="951"/>
      <c r="E130" s="951"/>
      <c r="F130" s="951"/>
      <c r="G130" s="951"/>
      <c r="H130" s="951"/>
      <c r="I130" s="951"/>
      <c r="J130" s="951"/>
      <c r="K130" s="951"/>
      <c r="L130" s="951"/>
      <c r="M130" s="951"/>
      <c r="N130" s="951"/>
      <c r="O130" s="951"/>
      <c r="P130" s="951"/>
    </row>
    <row r="131" spans="1:16" x14ac:dyDescent="0.35">
      <c r="A131" s="951"/>
      <c r="B131" s="951"/>
      <c r="C131" s="951"/>
      <c r="D131" s="951"/>
      <c r="E131" s="951"/>
      <c r="F131" s="951"/>
      <c r="G131" s="951"/>
      <c r="H131" s="951"/>
      <c r="I131" s="951"/>
      <c r="J131" s="951"/>
      <c r="K131" s="951"/>
      <c r="L131" s="951"/>
      <c r="M131" s="951"/>
      <c r="N131" s="951"/>
      <c r="O131" s="951"/>
      <c r="P131" s="951"/>
    </row>
    <row r="132" spans="1:16" x14ac:dyDescent="0.35">
      <c r="A132" s="951"/>
      <c r="B132" s="951"/>
      <c r="C132" s="951"/>
      <c r="D132" s="951"/>
      <c r="E132" s="951"/>
      <c r="F132" s="951"/>
      <c r="G132" s="951"/>
      <c r="H132" s="951"/>
      <c r="I132" s="951"/>
      <c r="J132" s="951"/>
      <c r="K132" s="951"/>
      <c r="L132" s="951"/>
      <c r="M132" s="951"/>
      <c r="N132" s="951"/>
      <c r="O132" s="951"/>
      <c r="P132" s="951"/>
    </row>
    <row r="133" spans="1:16" x14ac:dyDescent="0.35">
      <c r="A133" s="951"/>
      <c r="B133" s="951"/>
      <c r="C133" s="951"/>
      <c r="D133" s="951"/>
      <c r="E133" s="951"/>
      <c r="F133" s="951"/>
      <c r="G133" s="951"/>
      <c r="H133" s="951"/>
      <c r="I133" s="951"/>
      <c r="J133" s="951"/>
      <c r="K133" s="951"/>
      <c r="L133" s="951"/>
      <c r="M133" s="951"/>
      <c r="N133" s="951"/>
      <c r="O133" s="951"/>
      <c r="P133" s="951"/>
    </row>
    <row r="134" spans="1:16" x14ac:dyDescent="0.35">
      <c r="A134" s="951"/>
      <c r="B134" s="951"/>
      <c r="C134" s="951"/>
      <c r="D134" s="951"/>
      <c r="E134" s="951"/>
      <c r="F134" s="951"/>
      <c r="G134" s="951"/>
      <c r="H134" s="951"/>
      <c r="I134" s="951"/>
      <c r="J134" s="951"/>
      <c r="K134" s="951"/>
      <c r="L134" s="951"/>
      <c r="M134" s="951"/>
      <c r="N134" s="951"/>
      <c r="O134" s="951"/>
      <c r="P134" s="951"/>
    </row>
    <row r="135" spans="1:16" x14ac:dyDescent="0.35">
      <c r="A135" s="951"/>
      <c r="B135" s="951"/>
      <c r="C135" s="951"/>
      <c r="D135" s="951"/>
      <c r="E135" s="951"/>
      <c r="F135" s="951"/>
      <c r="G135" s="951"/>
      <c r="H135" s="951"/>
      <c r="I135" s="951"/>
      <c r="J135" s="951"/>
      <c r="K135" s="951"/>
      <c r="L135" s="951"/>
      <c r="M135" s="951"/>
      <c r="N135" s="951"/>
      <c r="O135" s="951"/>
      <c r="P135" s="951"/>
    </row>
    <row r="136" spans="1:16" x14ac:dyDescent="0.35">
      <c r="A136" s="951"/>
      <c r="B136" s="951"/>
      <c r="C136" s="951"/>
      <c r="D136" s="951"/>
      <c r="E136" s="951"/>
      <c r="F136" s="951"/>
      <c r="G136" s="951"/>
      <c r="H136" s="951"/>
      <c r="I136" s="951"/>
      <c r="J136" s="951"/>
      <c r="K136" s="951"/>
      <c r="L136" s="951"/>
      <c r="M136" s="951"/>
      <c r="N136" s="951"/>
      <c r="O136" s="951"/>
      <c r="P136" s="951"/>
    </row>
    <row r="137" spans="1:16" x14ac:dyDescent="0.35">
      <c r="A137" s="951"/>
      <c r="B137" s="951"/>
      <c r="C137" s="951"/>
      <c r="D137" s="951"/>
      <c r="E137" s="951"/>
      <c r="F137" s="951"/>
      <c r="G137" s="951"/>
      <c r="H137" s="951"/>
      <c r="I137" s="951"/>
      <c r="J137" s="951"/>
      <c r="K137" s="951"/>
      <c r="L137" s="951"/>
      <c r="M137" s="951"/>
      <c r="N137" s="951"/>
      <c r="O137" s="951"/>
      <c r="P137" s="951"/>
    </row>
    <row r="138" spans="1:16" x14ac:dyDescent="0.35">
      <c r="A138" s="951"/>
      <c r="B138" s="951"/>
      <c r="C138" s="951"/>
      <c r="D138" s="951"/>
      <c r="E138" s="951"/>
      <c r="F138" s="951"/>
      <c r="G138" s="951"/>
      <c r="H138" s="951"/>
      <c r="I138" s="951"/>
      <c r="J138" s="951"/>
      <c r="K138" s="951"/>
      <c r="L138" s="951"/>
      <c r="M138" s="951"/>
      <c r="N138" s="951"/>
      <c r="O138" s="951"/>
      <c r="P138" s="951"/>
    </row>
    <row r="139" spans="1:16" x14ac:dyDescent="0.35">
      <c r="A139" s="951"/>
      <c r="B139" s="951"/>
      <c r="C139" s="951"/>
      <c r="D139" s="951"/>
      <c r="E139" s="951"/>
      <c r="F139" s="951"/>
      <c r="G139" s="951"/>
      <c r="H139" s="951"/>
      <c r="I139" s="951"/>
      <c r="J139" s="951"/>
      <c r="K139" s="951"/>
      <c r="L139" s="951"/>
      <c r="M139" s="951"/>
      <c r="N139" s="951"/>
      <c r="O139" s="951"/>
      <c r="P139" s="951"/>
    </row>
    <row r="140" spans="1:16" x14ac:dyDescent="0.35">
      <c r="A140" s="951"/>
      <c r="B140" s="951"/>
      <c r="C140" s="951"/>
      <c r="D140" s="951"/>
      <c r="E140" s="951"/>
      <c r="F140" s="951"/>
      <c r="G140" s="951"/>
      <c r="H140" s="951"/>
      <c r="I140" s="951"/>
      <c r="J140" s="951"/>
      <c r="K140" s="951"/>
      <c r="L140" s="951"/>
      <c r="M140" s="951"/>
      <c r="N140" s="951"/>
      <c r="O140" s="951"/>
      <c r="P140" s="951"/>
    </row>
    <row r="141" spans="1:16" x14ac:dyDescent="0.35">
      <c r="A141" s="951"/>
      <c r="B141" s="951"/>
      <c r="C141" s="951"/>
      <c r="D141" s="951"/>
      <c r="E141" s="951"/>
      <c r="F141" s="951"/>
      <c r="G141" s="951"/>
      <c r="H141" s="951"/>
      <c r="I141" s="951"/>
      <c r="J141" s="951"/>
      <c r="K141" s="951"/>
      <c r="L141" s="951"/>
      <c r="M141" s="951"/>
      <c r="N141" s="951"/>
      <c r="O141" s="951"/>
      <c r="P141" s="951"/>
    </row>
    <row r="142" spans="1:16" x14ac:dyDescent="0.35">
      <c r="A142" s="951"/>
      <c r="B142" s="951"/>
      <c r="C142" s="951"/>
      <c r="D142" s="951"/>
      <c r="E142" s="951"/>
      <c r="F142" s="951"/>
      <c r="G142" s="951"/>
      <c r="H142" s="951"/>
      <c r="I142" s="951"/>
      <c r="J142" s="951"/>
      <c r="K142" s="951"/>
      <c r="L142" s="951"/>
      <c r="M142" s="951"/>
      <c r="N142" s="951"/>
      <c r="O142" s="951"/>
      <c r="P142" s="951"/>
    </row>
    <row r="143" spans="1:16" x14ac:dyDescent="0.35">
      <c r="A143" s="951"/>
      <c r="B143" s="951"/>
      <c r="C143" s="951"/>
      <c r="D143" s="951"/>
      <c r="E143" s="951"/>
      <c r="F143" s="951"/>
      <c r="G143" s="951"/>
      <c r="H143" s="951"/>
      <c r="I143" s="951"/>
      <c r="J143" s="951"/>
      <c r="K143" s="951"/>
      <c r="L143" s="951"/>
      <c r="M143" s="951"/>
      <c r="N143" s="951"/>
      <c r="O143" s="951"/>
      <c r="P143" s="951"/>
    </row>
    <row r="144" spans="1:16" x14ac:dyDescent="0.35">
      <c r="A144" s="951"/>
      <c r="B144" s="951"/>
      <c r="C144" s="951"/>
      <c r="D144" s="951"/>
      <c r="E144" s="951"/>
      <c r="F144" s="951"/>
      <c r="G144" s="951"/>
      <c r="H144" s="951"/>
      <c r="I144" s="951"/>
      <c r="J144" s="951"/>
      <c r="K144" s="951"/>
      <c r="L144" s="951"/>
      <c r="M144" s="951"/>
      <c r="N144" s="951"/>
      <c r="O144" s="951"/>
      <c r="P144" s="951"/>
    </row>
    <row r="145" spans="1:16" x14ac:dyDescent="0.35">
      <c r="A145" s="951"/>
      <c r="B145" s="951"/>
      <c r="C145" s="951"/>
      <c r="D145" s="951"/>
      <c r="E145" s="951"/>
      <c r="F145" s="951"/>
      <c r="G145" s="951"/>
      <c r="H145" s="951"/>
      <c r="I145" s="951"/>
      <c r="J145" s="951"/>
      <c r="K145" s="951"/>
      <c r="L145" s="951"/>
      <c r="M145" s="951"/>
      <c r="N145" s="951"/>
      <c r="O145" s="951"/>
      <c r="P145" s="951"/>
    </row>
    <row r="146" spans="1:16" x14ac:dyDescent="0.35">
      <c r="A146" s="951"/>
      <c r="B146" s="951"/>
      <c r="C146" s="951"/>
      <c r="D146" s="951"/>
      <c r="E146" s="951"/>
      <c r="F146" s="951"/>
      <c r="G146" s="951"/>
      <c r="H146" s="951"/>
      <c r="I146" s="951"/>
      <c r="J146" s="951"/>
      <c r="K146" s="951"/>
      <c r="L146" s="951"/>
      <c r="M146" s="951"/>
      <c r="N146" s="951"/>
      <c r="O146" s="951"/>
      <c r="P146" s="951"/>
    </row>
    <row r="147" spans="1:16" x14ac:dyDescent="0.35">
      <c r="A147" s="951"/>
      <c r="B147" s="951"/>
      <c r="C147" s="951"/>
      <c r="D147" s="951"/>
      <c r="E147" s="951"/>
      <c r="F147" s="951"/>
      <c r="G147" s="951"/>
      <c r="H147" s="951"/>
      <c r="I147" s="951"/>
      <c r="J147" s="951"/>
      <c r="K147" s="951"/>
      <c r="L147" s="951"/>
      <c r="M147" s="951"/>
      <c r="N147" s="951"/>
      <c r="O147" s="951"/>
      <c r="P147" s="951"/>
    </row>
    <row r="148" spans="1:16" x14ac:dyDescent="0.35">
      <c r="A148" s="951"/>
      <c r="B148" s="951"/>
      <c r="C148" s="951"/>
      <c r="D148" s="951"/>
      <c r="E148" s="951"/>
      <c r="F148" s="951"/>
      <c r="G148" s="951"/>
      <c r="H148" s="951"/>
      <c r="I148" s="951"/>
      <c r="J148" s="951"/>
      <c r="K148" s="951"/>
      <c r="L148" s="951"/>
      <c r="M148" s="951"/>
      <c r="N148" s="951"/>
      <c r="O148" s="951"/>
      <c r="P148" s="951"/>
    </row>
    <row r="149" spans="1:16" x14ac:dyDescent="0.35">
      <c r="A149" s="951"/>
      <c r="B149" s="951"/>
      <c r="C149" s="951"/>
      <c r="D149" s="951"/>
      <c r="E149" s="951"/>
      <c r="F149" s="951"/>
      <c r="G149" s="951"/>
      <c r="H149" s="951"/>
      <c r="I149" s="951"/>
      <c r="J149" s="951"/>
      <c r="K149" s="951"/>
      <c r="L149" s="951"/>
      <c r="M149" s="951"/>
      <c r="N149" s="951"/>
      <c r="O149" s="951"/>
      <c r="P149" s="951"/>
    </row>
    <row r="150" spans="1:16" x14ac:dyDescent="0.35">
      <c r="A150" s="951"/>
      <c r="B150" s="951"/>
      <c r="C150" s="951"/>
      <c r="D150" s="951"/>
      <c r="E150" s="951"/>
      <c r="F150" s="951"/>
      <c r="G150" s="951"/>
      <c r="H150" s="951"/>
      <c r="I150" s="951"/>
      <c r="J150" s="951"/>
      <c r="K150" s="951"/>
      <c r="L150" s="951"/>
      <c r="M150" s="951"/>
      <c r="N150" s="951"/>
      <c r="O150" s="951"/>
      <c r="P150" s="951"/>
    </row>
    <row r="151" spans="1:16" x14ac:dyDescent="0.35">
      <c r="A151" s="951"/>
      <c r="B151" s="951"/>
      <c r="C151" s="951"/>
      <c r="D151" s="951"/>
      <c r="E151" s="951"/>
      <c r="F151" s="951"/>
      <c r="G151" s="951"/>
      <c r="H151" s="951"/>
      <c r="I151" s="951"/>
      <c r="J151" s="951"/>
      <c r="K151" s="951"/>
      <c r="L151" s="951"/>
      <c r="M151" s="951"/>
      <c r="N151" s="951"/>
      <c r="O151" s="951"/>
      <c r="P151" s="951"/>
    </row>
    <row r="152" spans="1:16" x14ac:dyDescent="0.35">
      <c r="A152" s="951"/>
      <c r="B152" s="951"/>
      <c r="C152" s="951"/>
      <c r="D152" s="951"/>
      <c r="E152" s="951"/>
      <c r="F152" s="951"/>
      <c r="G152" s="951"/>
      <c r="H152" s="951"/>
      <c r="I152" s="951"/>
      <c r="J152" s="951"/>
      <c r="K152" s="951"/>
      <c r="L152" s="951"/>
      <c r="M152" s="951"/>
      <c r="N152" s="951"/>
      <c r="O152" s="951"/>
      <c r="P152" s="951"/>
    </row>
    <row r="153" spans="1:16" x14ac:dyDescent="0.35">
      <c r="A153" s="951"/>
      <c r="B153" s="951"/>
      <c r="C153" s="951"/>
      <c r="D153" s="951"/>
      <c r="E153" s="951"/>
      <c r="F153" s="951"/>
      <c r="G153" s="951"/>
      <c r="H153" s="951"/>
      <c r="I153" s="951"/>
      <c r="J153" s="951"/>
      <c r="K153" s="951"/>
      <c r="L153" s="951"/>
      <c r="M153" s="951"/>
      <c r="N153" s="951"/>
      <c r="O153" s="951"/>
      <c r="P153" s="951"/>
    </row>
  </sheetData>
  <mergeCells count="31">
    <mergeCell ref="A12:A13"/>
    <mergeCell ref="B12:B13"/>
    <mergeCell ref="A15:I15"/>
    <mergeCell ref="A17:A19"/>
    <mergeCell ref="B17:B19"/>
    <mergeCell ref="A1:I1"/>
    <mergeCell ref="A2:I2"/>
    <mergeCell ref="A3:I3"/>
    <mergeCell ref="A6:I6"/>
    <mergeCell ref="A10:A11"/>
    <mergeCell ref="B10:B11"/>
    <mergeCell ref="A30:I30"/>
    <mergeCell ref="A31:A32"/>
    <mergeCell ref="B31:B32"/>
    <mergeCell ref="A34:I34"/>
    <mergeCell ref="A20:A24"/>
    <mergeCell ref="B20:B24"/>
    <mergeCell ref="A26:I26"/>
    <mergeCell ref="A27:A28"/>
    <mergeCell ref="B27:B28"/>
    <mergeCell ref="A55:I55"/>
    <mergeCell ref="A38:I38"/>
    <mergeCell ref="A51:A52"/>
    <mergeCell ref="B51:B52"/>
    <mergeCell ref="A42:I42"/>
    <mergeCell ref="A43:A44"/>
    <mergeCell ref="B43:B44"/>
    <mergeCell ref="A50:I50"/>
    <mergeCell ref="A46:I46"/>
    <mergeCell ref="A47:A48"/>
    <mergeCell ref="B47:B48"/>
  </mergeCells>
  <printOptions horizontalCentered="1"/>
  <pageMargins left="0.31496062992125984" right="0.31496062992125984" top="0.35433070866141736" bottom="0.35433070866141736" header="0.31496062992125984" footer="0.31496062992125984"/>
  <pageSetup scale="82"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C48A-56A9-471A-9075-25881FD8929F}">
  <sheetPr>
    <tabColor rgb="FFC00000"/>
  </sheetPr>
  <dimension ref="A1:I98"/>
  <sheetViews>
    <sheetView topLeftCell="B92" zoomScaleNormal="100" workbookViewId="0">
      <selection activeCell="G106" sqref="G106"/>
    </sheetView>
  </sheetViews>
  <sheetFormatPr defaultRowHeight="14.5" x14ac:dyDescent="0.35"/>
  <cols>
    <col min="1" max="1" width="8.7265625" bestFit="1" customWidth="1"/>
    <col min="2" max="2" width="22" customWidth="1"/>
    <col min="3" max="3" width="31.81640625" customWidth="1"/>
    <col min="5" max="5" width="11.54296875" bestFit="1" customWidth="1"/>
    <col min="6" max="6" width="11.7265625" customWidth="1"/>
    <col min="7" max="8" width="12.54296875" customWidth="1"/>
    <col min="9" max="9" width="53" customWidth="1"/>
  </cols>
  <sheetData>
    <row r="1" spans="1:9" ht="18.5" x14ac:dyDescent="0.45">
      <c r="A1" s="2027" t="s">
        <v>637</v>
      </c>
      <c r="B1" s="2027"/>
      <c r="C1" s="2027"/>
      <c r="D1" s="2027"/>
      <c r="E1" s="2027"/>
      <c r="F1" s="2027"/>
      <c r="G1" s="2027"/>
      <c r="H1" s="2027"/>
      <c r="I1" s="2027"/>
    </row>
    <row r="2" spans="1:9" ht="19" thickBot="1" x14ac:dyDescent="0.5">
      <c r="A2" s="2068" t="s">
        <v>1029</v>
      </c>
      <c r="B2" s="2068"/>
      <c r="C2" s="2068"/>
      <c r="D2" s="2068"/>
      <c r="E2" s="2068"/>
      <c r="F2" s="2068"/>
      <c r="G2" s="2068"/>
      <c r="H2" s="2068"/>
      <c r="I2" s="2068"/>
    </row>
    <row r="3" spans="1:9" ht="15" thickBot="1" x14ac:dyDescent="0.4">
      <c r="A3" s="2180" t="s">
        <v>638</v>
      </c>
      <c r="B3" s="2181"/>
      <c r="C3" s="2181"/>
      <c r="D3" s="2181"/>
      <c r="E3" s="2181"/>
      <c r="F3" s="2181"/>
      <c r="G3" s="2181"/>
      <c r="H3" s="2181"/>
      <c r="I3" s="2182"/>
    </row>
    <row r="4" spans="1:9" ht="35" thickBot="1" x14ac:dyDescent="0.4">
      <c r="A4" s="432" t="s">
        <v>276</v>
      </c>
      <c r="B4" s="433" t="s">
        <v>159</v>
      </c>
      <c r="C4" s="434" t="s">
        <v>4</v>
      </c>
      <c r="D4" s="435" t="s">
        <v>161</v>
      </c>
      <c r="E4" s="436" t="s">
        <v>6</v>
      </c>
      <c r="F4" s="1407" t="s">
        <v>640</v>
      </c>
      <c r="G4" s="1408" t="s">
        <v>25</v>
      </c>
      <c r="H4" s="1408" t="s">
        <v>1418</v>
      </c>
      <c r="I4" s="433" t="s">
        <v>127</v>
      </c>
    </row>
    <row r="5" spans="1:9" ht="15" thickBot="1" x14ac:dyDescent="0.4">
      <c r="A5" s="2254" t="s">
        <v>639</v>
      </c>
      <c r="B5" s="2255"/>
      <c r="C5" s="2255"/>
      <c r="D5" s="2255"/>
      <c r="E5" s="2255"/>
      <c r="F5" s="2255"/>
      <c r="G5" s="2255"/>
      <c r="H5" s="2255"/>
      <c r="I5" s="2256"/>
    </row>
    <row r="6" spans="1:9" x14ac:dyDescent="0.35">
      <c r="B6" s="1757"/>
      <c r="C6" s="1757"/>
      <c r="D6" s="1757"/>
      <c r="E6" s="1757"/>
      <c r="F6" s="1757"/>
      <c r="G6" s="1757"/>
      <c r="H6" s="1757"/>
      <c r="I6" s="1757"/>
    </row>
    <row r="7" spans="1:9" ht="28" x14ac:dyDescent="0.35">
      <c r="A7" s="2257">
        <v>1</v>
      </c>
      <c r="B7" s="2258" t="s">
        <v>641</v>
      </c>
      <c r="C7" s="1677" t="s">
        <v>642</v>
      </c>
      <c r="D7" s="887">
        <v>1</v>
      </c>
      <c r="E7" s="1771">
        <v>22</v>
      </c>
      <c r="F7" s="1772" t="s">
        <v>1032</v>
      </c>
      <c r="G7" s="1387" t="s">
        <v>1032</v>
      </c>
      <c r="H7" s="1387" t="s">
        <v>1420</v>
      </c>
      <c r="I7" s="1773" t="s">
        <v>660</v>
      </c>
    </row>
    <row r="8" spans="1:9" ht="56" x14ac:dyDescent="0.35">
      <c r="A8" s="2257"/>
      <c r="B8" s="2249"/>
      <c r="C8" s="437" t="s">
        <v>643</v>
      </c>
      <c r="D8" s="438">
        <v>2</v>
      </c>
      <c r="E8" s="439">
        <v>6</v>
      </c>
      <c r="F8" s="442">
        <v>4</v>
      </c>
      <c r="G8" s="441">
        <f t="shared" ref="G8:G15" si="0">F8/E8</f>
        <v>0.66666666666666663</v>
      </c>
      <c r="H8" s="1387">
        <f>G8</f>
        <v>0.66666666666666663</v>
      </c>
      <c r="I8" s="443" t="s">
        <v>644</v>
      </c>
    </row>
    <row r="9" spans="1:9" ht="98" x14ac:dyDescent="0.35">
      <c r="A9" s="2244">
        <v>2</v>
      </c>
      <c r="B9" s="2247" t="s">
        <v>645</v>
      </c>
      <c r="C9" s="444" t="s">
        <v>646</v>
      </c>
      <c r="D9" s="438">
        <v>3</v>
      </c>
      <c r="E9" s="885">
        <v>17</v>
      </c>
      <c r="F9" s="885">
        <v>12</v>
      </c>
      <c r="G9" s="441">
        <f t="shared" si="0"/>
        <v>0.70588235294117652</v>
      </c>
      <c r="H9" s="1387">
        <f t="shared" ref="H9:H15" si="1">G9</f>
        <v>0.70588235294117652</v>
      </c>
      <c r="I9" s="447" t="s">
        <v>1076</v>
      </c>
    </row>
    <row r="10" spans="1:9" ht="42" x14ac:dyDescent="0.35">
      <c r="A10" s="2245"/>
      <c r="B10" s="2247"/>
      <c r="C10" s="444" t="s">
        <v>647</v>
      </c>
      <c r="D10" s="438">
        <v>4</v>
      </c>
      <c r="E10" s="445">
        <v>5</v>
      </c>
      <c r="F10" s="446">
        <v>0</v>
      </c>
      <c r="G10" s="441">
        <f t="shared" si="0"/>
        <v>0</v>
      </c>
      <c r="H10" s="1387">
        <f t="shared" si="1"/>
        <v>0</v>
      </c>
      <c r="I10" s="447" t="s">
        <v>1033</v>
      </c>
    </row>
    <row r="11" spans="1:9" ht="28" x14ac:dyDescent="0.35">
      <c r="A11" s="2246"/>
      <c r="B11" s="2247"/>
      <c r="C11" s="444" t="s">
        <v>648</v>
      </c>
      <c r="D11" s="438">
        <v>5</v>
      </c>
      <c r="E11" s="886">
        <v>50000</v>
      </c>
      <c r="F11" s="448">
        <v>10000</v>
      </c>
      <c r="G11" s="441">
        <f t="shared" si="0"/>
        <v>0.2</v>
      </c>
      <c r="H11" s="1387">
        <f t="shared" si="1"/>
        <v>0.2</v>
      </c>
      <c r="I11" s="447" t="s">
        <v>649</v>
      </c>
    </row>
    <row r="12" spans="1:9" ht="56" x14ac:dyDescent="0.35">
      <c r="A12" s="2244">
        <v>3</v>
      </c>
      <c r="B12" s="2248" t="s">
        <v>934</v>
      </c>
      <c r="C12" s="444" t="s">
        <v>650</v>
      </c>
      <c r="D12" s="438">
        <v>6</v>
      </c>
      <c r="E12" s="445">
        <v>10</v>
      </c>
      <c r="F12" s="446">
        <v>3</v>
      </c>
      <c r="G12" s="441">
        <f t="shared" si="0"/>
        <v>0.3</v>
      </c>
      <c r="H12" s="1387">
        <f t="shared" si="1"/>
        <v>0.3</v>
      </c>
      <c r="I12" s="449" t="s">
        <v>1078</v>
      </c>
    </row>
    <row r="13" spans="1:9" ht="28" x14ac:dyDescent="0.35">
      <c r="A13" s="2245"/>
      <c r="B13" s="2249"/>
      <c r="C13" s="444" t="s">
        <v>1034</v>
      </c>
      <c r="D13" s="438">
        <v>7</v>
      </c>
      <c r="E13" s="445">
        <v>2</v>
      </c>
      <c r="F13" s="885">
        <v>2</v>
      </c>
      <c r="G13" s="441">
        <f t="shared" ref="G13" si="2">F13/E13</f>
        <v>1</v>
      </c>
      <c r="H13" s="1387">
        <f t="shared" si="1"/>
        <v>1</v>
      </c>
      <c r="I13" s="449" t="s">
        <v>1077</v>
      </c>
    </row>
    <row r="14" spans="1:9" ht="42" x14ac:dyDescent="0.35">
      <c r="A14" s="2245"/>
      <c r="B14" s="2249"/>
      <c r="C14" s="444" t="s">
        <v>1035</v>
      </c>
      <c r="D14" s="438">
        <v>8</v>
      </c>
      <c r="E14" s="445">
        <v>12</v>
      </c>
      <c r="F14" s="446">
        <v>11</v>
      </c>
      <c r="G14" s="441">
        <f t="shared" si="0"/>
        <v>0.91666666666666663</v>
      </c>
      <c r="H14" s="1387">
        <f t="shared" si="1"/>
        <v>0.91666666666666663</v>
      </c>
      <c r="I14" s="449" t="s">
        <v>1036</v>
      </c>
    </row>
    <row r="15" spans="1:9" ht="42" x14ac:dyDescent="0.35">
      <c r="A15" s="2246"/>
      <c r="B15" s="2250"/>
      <c r="C15" s="444" t="s">
        <v>1037</v>
      </c>
      <c r="D15" s="438">
        <v>9</v>
      </c>
      <c r="E15" s="446">
        <v>6</v>
      </c>
      <c r="F15" s="885">
        <v>4</v>
      </c>
      <c r="G15" s="450">
        <f t="shared" si="0"/>
        <v>0.66666666666666663</v>
      </c>
      <c r="H15" s="1387">
        <f t="shared" si="1"/>
        <v>0.66666666666666663</v>
      </c>
      <c r="I15" s="447" t="s">
        <v>651</v>
      </c>
    </row>
    <row r="16" spans="1:9" ht="15" thickBot="1" x14ac:dyDescent="0.4">
      <c r="A16" s="451"/>
      <c r="B16" s="452"/>
      <c r="C16" s="452"/>
      <c r="D16" s="453"/>
      <c r="E16" s="453"/>
      <c r="F16" s="454" t="s">
        <v>652</v>
      </c>
      <c r="G16" s="455"/>
      <c r="H16" s="1389"/>
      <c r="I16" s="1409">
        <f>AVERAGE(H7:H15)</f>
        <v>0.55698529411764708</v>
      </c>
    </row>
    <row r="17" spans="1:9" ht="15" thickBot="1" x14ac:dyDescent="0.4">
      <c r="A17" s="2251" t="s">
        <v>653</v>
      </c>
      <c r="B17" s="2252"/>
      <c r="C17" s="2252"/>
      <c r="D17" s="2252"/>
      <c r="E17" s="2252"/>
      <c r="F17" s="2252"/>
      <c r="G17" s="2252"/>
      <c r="H17" s="2252"/>
      <c r="I17" s="2253"/>
    </row>
    <row r="18" spans="1:9" ht="15" thickBot="1" x14ac:dyDescent="0.4">
      <c r="A18" s="2254" t="s">
        <v>654</v>
      </c>
      <c r="B18" s="2259"/>
      <c r="C18" s="2259"/>
      <c r="D18" s="2259"/>
      <c r="E18" s="2259"/>
      <c r="F18" s="2259"/>
      <c r="G18" s="2259"/>
      <c r="H18" s="2259"/>
      <c r="I18" s="2260"/>
    </row>
    <row r="19" spans="1:9" ht="30" x14ac:dyDescent="0.35">
      <c r="A19" s="2265">
        <v>1</v>
      </c>
      <c r="B19" s="2266" t="s">
        <v>655</v>
      </c>
      <c r="C19" s="457" t="s">
        <v>656</v>
      </c>
      <c r="D19" s="438">
        <v>1</v>
      </c>
      <c r="E19" s="458">
        <v>1000</v>
      </c>
      <c r="F19" s="458">
        <v>852</v>
      </c>
      <c r="G19" s="459">
        <f>F19/E19</f>
        <v>0.85199999999999998</v>
      </c>
      <c r="H19" s="1390">
        <f>G19</f>
        <v>0.85199999999999998</v>
      </c>
      <c r="I19" s="460"/>
    </row>
    <row r="20" spans="1:9" ht="30" x14ac:dyDescent="0.35">
      <c r="A20" s="2245"/>
      <c r="B20" s="2267"/>
      <c r="C20" s="457" t="s">
        <v>657</v>
      </c>
      <c r="D20" s="438">
        <v>2</v>
      </c>
      <c r="E20" s="461">
        <v>50000</v>
      </c>
      <c r="F20" s="461">
        <v>45000</v>
      </c>
      <c r="G20" s="462">
        <f>F20/E20</f>
        <v>0.9</v>
      </c>
      <c r="H20" s="1391">
        <f>G20</f>
        <v>0.9</v>
      </c>
      <c r="I20" s="463" t="s">
        <v>658</v>
      </c>
    </row>
    <row r="21" spans="1:9" ht="30" x14ac:dyDescent="0.35">
      <c r="A21" s="2245"/>
      <c r="B21" s="2267"/>
      <c r="C21" s="457" t="s">
        <v>659</v>
      </c>
      <c r="D21" s="438">
        <v>3</v>
      </c>
      <c r="E21" s="461">
        <v>900</v>
      </c>
      <c r="F21" s="461"/>
      <c r="G21" s="462"/>
      <c r="H21" s="1391" t="s">
        <v>1420</v>
      </c>
      <c r="I21" s="463" t="s">
        <v>660</v>
      </c>
    </row>
    <row r="22" spans="1:9" ht="15" thickBot="1" x14ac:dyDescent="0.4">
      <c r="A22" s="451"/>
      <c r="B22" s="452"/>
      <c r="C22" s="452"/>
      <c r="D22" s="464"/>
      <c r="E22" s="464"/>
      <c r="F22" s="465" t="s">
        <v>652</v>
      </c>
      <c r="G22" s="466"/>
      <c r="H22" s="1392"/>
      <c r="I22" s="1410">
        <f>AVERAGE(H19:H21)</f>
        <v>0.876</v>
      </c>
    </row>
    <row r="23" spans="1:9" ht="15" thickBot="1" x14ac:dyDescent="0.4">
      <c r="A23" s="2254" t="s">
        <v>661</v>
      </c>
      <c r="B23" s="2259"/>
      <c r="C23" s="2259"/>
      <c r="D23" s="2259"/>
      <c r="E23" s="2259"/>
      <c r="F23" s="2259"/>
      <c r="G23" s="2259"/>
      <c r="H23" s="2255"/>
      <c r="I23" s="2260"/>
    </row>
    <row r="24" spans="1:9" ht="30" x14ac:dyDescent="0.35">
      <c r="A24" s="467">
        <v>1</v>
      </c>
      <c r="B24" s="468" t="s">
        <v>662</v>
      </c>
      <c r="C24" s="469" t="s">
        <v>663</v>
      </c>
      <c r="D24" s="470">
        <v>1</v>
      </c>
      <c r="E24" s="471">
        <v>150</v>
      </c>
      <c r="F24" s="932">
        <v>470</v>
      </c>
      <c r="G24" s="888">
        <f>F24/E24</f>
        <v>3.1333333333333333</v>
      </c>
      <c r="H24" s="1411">
        <v>1.01</v>
      </c>
      <c r="I24" s="473" t="s">
        <v>664</v>
      </c>
    </row>
    <row r="25" spans="1:9" ht="84" x14ac:dyDescent="0.35">
      <c r="A25" s="2261">
        <v>2</v>
      </c>
      <c r="B25" s="2263" t="s">
        <v>665</v>
      </c>
      <c r="C25" s="474" t="s">
        <v>666</v>
      </c>
      <c r="D25" s="475">
        <v>2</v>
      </c>
      <c r="E25" s="476">
        <v>6</v>
      </c>
      <c r="F25" s="477">
        <v>2</v>
      </c>
      <c r="G25" s="478">
        <f>F25/E25</f>
        <v>0.33333333333333331</v>
      </c>
      <c r="H25" s="1393">
        <f>G25</f>
        <v>0.33333333333333331</v>
      </c>
      <c r="I25" s="479" t="s">
        <v>667</v>
      </c>
    </row>
    <row r="26" spans="1:9" ht="30.5" thickBot="1" x14ac:dyDescent="0.4">
      <c r="A26" s="2262"/>
      <c r="B26" s="2264"/>
      <c r="C26" s="480" t="s">
        <v>668</v>
      </c>
      <c r="D26" s="481">
        <v>3</v>
      </c>
      <c r="E26" s="482">
        <v>150</v>
      </c>
      <c r="F26" s="933">
        <v>48</v>
      </c>
      <c r="G26" s="483">
        <f>F26/E26</f>
        <v>0.32</v>
      </c>
      <c r="H26" s="1394">
        <f>G26</f>
        <v>0.32</v>
      </c>
      <c r="I26" s="484" t="s">
        <v>669</v>
      </c>
    </row>
    <row r="27" spans="1:9" ht="45" x14ac:dyDescent="0.35">
      <c r="A27" s="485">
        <v>3</v>
      </c>
      <c r="B27" s="486" t="s">
        <v>670</v>
      </c>
      <c r="C27" s="486" t="s">
        <v>671</v>
      </c>
      <c r="D27" s="487">
        <v>4</v>
      </c>
      <c r="E27" s="487">
        <v>7</v>
      </c>
      <c r="F27" s="487">
        <v>4</v>
      </c>
      <c r="G27" s="472">
        <f>F27/E27</f>
        <v>0.5714285714285714</v>
      </c>
      <c r="H27" s="1395">
        <f>G27</f>
        <v>0.5714285714285714</v>
      </c>
      <c r="I27" s="488" t="s">
        <v>672</v>
      </c>
    </row>
    <row r="28" spans="1:9" ht="15" thickBot="1" x14ac:dyDescent="0.4">
      <c r="A28" s="451"/>
      <c r="B28" s="452"/>
      <c r="C28" s="452"/>
      <c r="D28" s="453"/>
      <c r="E28" s="453"/>
      <c r="F28" s="454" t="s">
        <v>652</v>
      </c>
      <c r="G28" s="455"/>
      <c r="H28" s="1389"/>
      <c r="I28" s="1410">
        <f>AVERAGE(H24:H27)</f>
        <v>0.55869047619047618</v>
      </c>
    </row>
    <row r="29" spans="1:9" ht="15" thickBot="1" x14ac:dyDescent="0.4">
      <c r="A29" s="2254" t="s">
        <v>673</v>
      </c>
      <c r="B29" s="2259"/>
      <c r="C29" s="2259"/>
      <c r="D29" s="2259"/>
      <c r="E29" s="2259"/>
      <c r="F29" s="2259"/>
      <c r="G29" s="2259"/>
      <c r="H29" s="2255"/>
      <c r="I29" s="2260"/>
    </row>
    <row r="30" spans="1:9" ht="42" x14ac:dyDescent="0.35">
      <c r="A30" s="2268">
        <v>1</v>
      </c>
      <c r="B30" s="2249" t="s">
        <v>674</v>
      </c>
      <c r="C30" s="489" t="s">
        <v>1038</v>
      </c>
      <c r="D30" s="438">
        <v>1</v>
      </c>
      <c r="E30" s="490">
        <v>12540</v>
      </c>
      <c r="F30" s="440">
        <v>14093</v>
      </c>
      <c r="G30" s="491">
        <f t="shared" ref="G30:G36" si="3">F30/E30</f>
        <v>1.1238437001594896</v>
      </c>
      <c r="H30" s="1396">
        <v>1.01</v>
      </c>
      <c r="I30" s="492"/>
    </row>
    <row r="31" spans="1:9" ht="42" x14ac:dyDescent="0.35">
      <c r="A31" s="2268"/>
      <c r="B31" s="2249"/>
      <c r="C31" s="489" t="s">
        <v>676</v>
      </c>
      <c r="D31" s="438">
        <v>2</v>
      </c>
      <c r="E31" s="493">
        <v>4371.6000000000004</v>
      </c>
      <c r="F31" s="448">
        <v>3643</v>
      </c>
      <c r="G31" s="495">
        <f t="shared" si="3"/>
        <v>0.83333333333333326</v>
      </c>
      <c r="H31" s="1397">
        <f>G31</f>
        <v>0.83333333333333326</v>
      </c>
      <c r="I31" s="492" t="s">
        <v>675</v>
      </c>
    </row>
    <row r="32" spans="1:9" ht="42.5" thickBot="1" x14ac:dyDescent="0.4">
      <c r="A32" s="2268"/>
      <c r="B32" s="2249"/>
      <c r="C32" s="489" t="s">
        <v>677</v>
      </c>
      <c r="D32" s="438">
        <v>3</v>
      </c>
      <c r="E32" s="496">
        <v>15400</v>
      </c>
      <c r="F32" s="934">
        <v>14000</v>
      </c>
      <c r="G32" s="495">
        <f t="shared" si="3"/>
        <v>0.90909090909090906</v>
      </c>
      <c r="H32" s="1397">
        <f t="shared" ref="H32" si="4">G32</f>
        <v>0.90909090909090906</v>
      </c>
      <c r="I32" s="492" t="s">
        <v>1079</v>
      </c>
    </row>
    <row r="33" spans="1:9" ht="42" x14ac:dyDescent="0.35">
      <c r="A33" s="2268"/>
      <c r="B33" s="2249"/>
      <c r="C33" s="497" t="s">
        <v>678</v>
      </c>
      <c r="D33" s="438">
        <v>4</v>
      </c>
      <c r="E33" s="935">
        <v>8.4</v>
      </c>
      <c r="F33" s="936">
        <v>8.6999999999999993</v>
      </c>
      <c r="G33" s="495">
        <f t="shared" si="3"/>
        <v>1.0357142857142856</v>
      </c>
      <c r="H33" s="1397">
        <v>1.01</v>
      </c>
      <c r="I33" s="492" t="s">
        <v>1080</v>
      </c>
    </row>
    <row r="34" spans="1:9" ht="42" x14ac:dyDescent="0.35">
      <c r="A34" s="2268"/>
      <c r="B34" s="2249"/>
      <c r="C34" s="489" t="s">
        <v>679</v>
      </c>
      <c r="D34" s="438">
        <v>5</v>
      </c>
      <c r="E34" s="498">
        <v>433</v>
      </c>
      <c r="F34" s="499">
        <v>3092</v>
      </c>
      <c r="G34" s="495">
        <f t="shared" si="3"/>
        <v>7.1408775981524251</v>
      </c>
      <c r="H34" s="1397">
        <v>1.01</v>
      </c>
      <c r="I34" s="492" t="s">
        <v>680</v>
      </c>
    </row>
    <row r="35" spans="1:9" ht="28" x14ac:dyDescent="0.35">
      <c r="A35" s="2268"/>
      <c r="B35" s="2249"/>
      <c r="C35" s="489" t="s">
        <v>681</v>
      </c>
      <c r="D35" s="438">
        <v>6</v>
      </c>
      <c r="E35" s="493">
        <v>8649</v>
      </c>
      <c r="F35" s="494">
        <f>20611*3</f>
        <v>61833</v>
      </c>
      <c r="G35" s="495">
        <f t="shared" si="3"/>
        <v>7.1491501907734998</v>
      </c>
      <c r="H35" s="1397">
        <v>1.01</v>
      </c>
      <c r="I35" s="492" t="s">
        <v>682</v>
      </c>
    </row>
    <row r="36" spans="1:9" ht="28.5" thickBot="1" x14ac:dyDescent="0.4">
      <c r="A36" s="2268"/>
      <c r="B36" s="2249"/>
      <c r="C36" s="500" t="s">
        <v>683</v>
      </c>
      <c r="D36" s="501">
        <v>7</v>
      </c>
      <c r="E36" s="502">
        <v>2883</v>
      </c>
      <c r="F36" s="503">
        <v>20611</v>
      </c>
      <c r="G36" s="504">
        <f t="shared" si="3"/>
        <v>7.1491501907734998</v>
      </c>
      <c r="H36" s="1397">
        <v>1.01</v>
      </c>
      <c r="I36" s="505" t="s">
        <v>684</v>
      </c>
    </row>
    <row r="37" spans="1:9" ht="15" thickBot="1" x14ac:dyDescent="0.4">
      <c r="A37" s="506"/>
      <c r="B37" s="507"/>
      <c r="C37" s="508"/>
      <c r="D37" s="509"/>
      <c r="E37" s="510"/>
      <c r="F37" s="511" t="s">
        <v>652</v>
      </c>
      <c r="G37" s="512"/>
      <c r="H37" s="1398"/>
      <c r="I37" s="1412">
        <f>AVERAGE(H30:H36)</f>
        <v>0.97034632034632029</v>
      </c>
    </row>
    <row r="38" spans="1:9" ht="15" thickBot="1" x14ac:dyDescent="0.4">
      <c r="A38" s="2254" t="s">
        <v>685</v>
      </c>
      <c r="B38" s="2259"/>
      <c r="C38" s="2259"/>
      <c r="D38" s="2259"/>
      <c r="E38" s="2259"/>
      <c r="F38" s="2259"/>
      <c r="G38" s="2259"/>
      <c r="H38" s="2255"/>
      <c r="I38" s="2260"/>
    </row>
    <row r="39" spans="1:9" ht="44" customHeight="1" x14ac:dyDescent="0.35">
      <c r="A39" s="2269">
        <v>1</v>
      </c>
      <c r="B39" s="2271" t="s">
        <v>686</v>
      </c>
      <c r="C39" s="513" t="s">
        <v>687</v>
      </c>
      <c r="D39" s="514">
        <v>1</v>
      </c>
      <c r="E39" s="514">
        <v>10</v>
      </c>
      <c r="F39" s="514">
        <v>4</v>
      </c>
      <c r="G39" s="515">
        <f>F39/E39</f>
        <v>0.4</v>
      </c>
      <c r="H39" s="1399">
        <f>G39</f>
        <v>0.4</v>
      </c>
      <c r="I39" s="516" t="s">
        <v>1081</v>
      </c>
    </row>
    <row r="40" spans="1:9" ht="26" x14ac:dyDescent="0.35">
      <c r="A40" s="2270"/>
      <c r="B40" s="2272"/>
      <c r="C40" s="517" t="s">
        <v>688</v>
      </c>
      <c r="D40" s="518">
        <v>2</v>
      </c>
      <c r="E40" s="519">
        <v>0.4</v>
      </c>
      <c r="F40" s="519">
        <v>0.75</v>
      </c>
      <c r="G40" s="520">
        <f>F40/E40</f>
        <v>1.875</v>
      </c>
      <c r="H40" s="1400">
        <v>1.01</v>
      </c>
      <c r="I40" s="521" t="s">
        <v>689</v>
      </c>
    </row>
    <row r="41" spans="1:9" ht="65" x14ac:dyDescent="0.35">
      <c r="A41" s="2270"/>
      <c r="B41" s="2272"/>
      <c r="C41" s="517" t="s">
        <v>690</v>
      </c>
      <c r="D41" s="518">
        <v>3</v>
      </c>
      <c r="E41" s="519">
        <v>0.8</v>
      </c>
      <c r="F41" s="522">
        <f>4.66/12.9</f>
        <v>0.36124031007751939</v>
      </c>
      <c r="G41" s="523">
        <f>F41/E41</f>
        <v>0.45155038759689919</v>
      </c>
      <c r="H41" s="1401">
        <f>G41</f>
        <v>0.45155038759689919</v>
      </c>
      <c r="I41" s="524" t="s">
        <v>1460</v>
      </c>
    </row>
    <row r="42" spans="1:9" ht="15" thickBot="1" x14ac:dyDescent="0.4">
      <c r="A42" s="525"/>
      <c r="B42" s="526"/>
      <c r="C42" s="527"/>
      <c r="D42" s="528"/>
      <c r="E42" s="529"/>
      <c r="F42" s="530" t="s">
        <v>652</v>
      </c>
      <c r="G42" s="531"/>
      <c r="H42" s="1402"/>
      <c r="I42" s="1413">
        <f>AVERAGE(H39:H41)</f>
        <v>0.62051679586563313</v>
      </c>
    </row>
    <row r="43" spans="1:9" ht="15" thickBot="1" x14ac:dyDescent="0.4">
      <c r="A43" s="2254" t="s">
        <v>1461</v>
      </c>
      <c r="B43" s="2259"/>
      <c r="C43" s="2259"/>
      <c r="D43" s="2259"/>
      <c r="E43" s="2259"/>
      <c r="F43" s="2259"/>
      <c r="G43" s="2255"/>
      <c r="H43" s="2259"/>
      <c r="I43" s="2260"/>
    </row>
    <row r="44" spans="1:9" ht="28" x14ac:dyDescent="0.35">
      <c r="A44" s="446">
        <v>1</v>
      </c>
      <c r="B44" s="532" t="s">
        <v>691</v>
      </c>
      <c r="C44" s="532" t="s">
        <v>692</v>
      </c>
      <c r="D44" s="475">
        <v>1</v>
      </c>
      <c r="E44" s="445">
        <v>2</v>
      </c>
      <c r="F44" s="439">
        <v>0</v>
      </c>
      <c r="G44" s="1387">
        <f t="shared" ref="G44:G51" si="5">F44/E44</f>
        <v>0</v>
      </c>
      <c r="H44" s="1388">
        <f>G44</f>
        <v>0</v>
      </c>
      <c r="I44" s="533" t="s">
        <v>1094</v>
      </c>
    </row>
    <row r="45" spans="1:9" ht="42" x14ac:dyDescent="0.35">
      <c r="A45" s="475">
        <v>2</v>
      </c>
      <c r="B45" s="532" t="s">
        <v>693</v>
      </c>
      <c r="C45" s="532" t="s">
        <v>694</v>
      </c>
      <c r="D45" s="475">
        <v>2</v>
      </c>
      <c r="E45" s="493">
        <v>4</v>
      </c>
      <c r="F45" s="534">
        <v>4</v>
      </c>
      <c r="G45" s="450">
        <f t="shared" si="5"/>
        <v>1</v>
      </c>
      <c r="H45" s="1388">
        <f t="shared" ref="H45:H53" si="6">G45</f>
        <v>1</v>
      </c>
      <c r="I45" s="447" t="s">
        <v>1095</v>
      </c>
    </row>
    <row r="46" spans="1:9" ht="28" x14ac:dyDescent="0.35">
      <c r="A46" s="475">
        <v>3</v>
      </c>
      <c r="B46" s="532" t="s">
        <v>695</v>
      </c>
      <c r="C46" s="532" t="s">
        <v>696</v>
      </c>
      <c r="D46" s="475">
        <v>3</v>
      </c>
      <c r="E46" s="493">
        <v>6</v>
      </c>
      <c r="F46" s="534">
        <v>1</v>
      </c>
      <c r="G46" s="450">
        <f t="shared" si="5"/>
        <v>0.16666666666666666</v>
      </c>
      <c r="H46" s="1388">
        <f t="shared" si="6"/>
        <v>0.16666666666666666</v>
      </c>
      <c r="I46" s="533" t="s">
        <v>1096</v>
      </c>
    </row>
    <row r="47" spans="1:9" ht="28" x14ac:dyDescent="0.35">
      <c r="A47" s="2273">
        <v>4</v>
      </c>
      <c r="B47" s="2248" t="s">
        <v>697</v>
      </c>
      <c r="C47" s="532" t="s">
        <v>698</v>
      </c>
      <c r="D47" s="475">
        <v>4</v>
      </c>
      <c r="E47" s="944">
        <v>2100</v>
      </c>
      <c r="F47" s="535">
        <v>15480</v>
      </c>
      <c r="G47" s="450">
        <f t="shared" si="5"/>
        <v>7.371428571428571</v>
      </c>
      <c r="H47" s="1388">
        <v>1.01</v>
      </c>
      <c r="I47" s="447" t="s">
        <v>1100</v>
      </c>
    </row>
    <row r="48" spans="1:9" ht="42" x14ac:dyDescent="0.35">
      <c r="A48" s="2274"/>
      <c r="B48" s="2249"/>
      <c r="C48" s="536" t="s">
        <v>699</v>
      </c>
      <c r="D48" s="475">
        <v>5</v>
      </c>
      <c r="E48" s="537">
        <v>500</v>
      </c>
      <c r="F48" s="538">
        <v>0</v>
      </c>
      <c r="G48" s="539">
        <f t="shared" si="5"/>
        <v>0</v>
      </c>
      <c r="H48" s="1388">
        <f t="shared" si="6"/>
        <v>0</v>
      </c>
      <c r="I48" s="540" t="s">
        <v>1097</v>
      </c>
    </row>
    <row r="49" spans="1:9" ht="28" x14ac:dyDescent="0.35">
      <c r="A49" s="2275"/>
      <c r="B49" s="2250"/>
      <c r="C49" s="536" t="s">
        <v>700</v>
      </c>
      <c r="D49" s="475">
        <v>6</v>
      </c>
      <c r="E49" s="944">
        <v>700</v>
      </c>
      <c r="F49" s="541">
        <f>F47/3</f>
        <v>5160</v>
      </c>
      <c r="G49" s="539">
        <f t="shared" si="5"/>
        <v>7.371428571428571</v>
      </c>
      <c r="H49" s="1388">
        <v>1.01</v>
      </c>
      <c r="I49" s="447" t="s">
        <v>1098</v>
      </c>
    </row>
    <row r="50" spans="1:9" ht="42" x14ac:dyDescent="0.35">
      <c r="A50" s="887"/>
      <c r="B50" s="798"/>
      <c r="C50" s="536" t="s">
        <v>1101</v>
      </c>
      <c r="D50" s="940">
        <v>7</v>
      </c>
      <c r="E50" s="941">
        <v>7150</v>
      </c>
      <c r="F50" s="942">
        <f>E50</f>
        <v>7150</v>
      </c>
      <c r="G50" s="539">
        <f t="shared" si="5"/>
        <v>1</v>
      </c>
      <c r="H50" s="1388">
        <f t="shared" si="6"/>
        <v>1</v>
      </c>
      <c r="I50" s="943"/>
    </row>
    <row r="51" spans="1:9" ht="42" x14ac:dyDescent="0.35">
      <c r="A51" s="887"/>
      <c r="B51" s="798"/>
      <c r="C51" s="536" t="s">
        <v>1102</v>
      </c>
      <c r="D51" s="940">
        <v>8</v>
      </c>
      <c r="E51" s="941">
        <f>(5750*4)+(1400*3)</f>
        <v>27200</v>
      </c>
      <c r="F51" s="942">
        <f>E51</f>
        <v>27200</v>
      </c>
      <c r="G51" s="539">
        <f t="shared" si="5"/>
        <v>1</v>
      </c>
      <c r="H51" s="1388">
        <f t="shared" si="6"/>
        <v>1</v>
      </c>
      <c r="I51" s="943"/>
    </row>
    <row r="52" spans="1:9" ht="56" x14ac:dyDescent="0.35">
      <c r="A52" s="2257">
        <v>5</v>
      </c>
      <c r="B52" s="2248" t="s">
        <v>701</v>
      </c>
      <c r="C52" s="536" t="s">
        <v>702</v>
      </c>
      <c r="D52" s="475">
        <v>9</v>
      </c>
      <c r="E52" s="542">
        <v>300</v>
      </c>
      <c r="F52" s="543">
        <v>300</v>
      </c>
      <c r="G52" s="450">
        <f>F52/E52</f>
        <v>1</v>
      </c>
      <c r="H52" s="1388">
        <f t="shared" si="6"/>
        <v>1</v>
      </c>
      <c r="I52" s="447" t="s">
        <v>703</v>
      </c>
    </row>
    <row r="53" spans="1:9" ht="42" x14ac:dyDescent="0.35">
      <c r="A53" s="2257"/>
      <c r="B53" s="2249"/>
      <c r="C53" s="536" t="s">
        <v>704</v>
      </c>
      <c r="D53" s="475">
        <v>10</v>
      </c>
      <c r="E53" s="542">
        <v>300</v>
      </c>
      <c r="F53" s="544">
        <v>300</v>
      </c>
      <c r="G53" s="450">
        <f>F53/E53</f>
        <v>1</v>
      </c>
      <c r="H53" s="1388">
        <f t="shared" si="6"/>
        <v>1</v>
      </c>
      <c r="I53" s="447" t="s">
        <v>705</v>
      </c>
    </row>
    <row r="54" spans="1:9" ht="70" x14ac:dyDescent="0.35">
      <c r="A54" s="2257"/>
      <c r="B54" s="545"/>
      <c r="C54" s="546" t="s">
        <v>1099</v>
      </c>
      <c r="D54" s="475">
        <v>11</v>
      </c>
      <c r="E54" s="886">
        <v>800000</v>
      </c>
      <c r="F54" s="547">
        <v>845616</v>
      </c>
      <c r="G54" s="450">
        <f>F54/E54</f>
        <v>1.0570200000000001</v>
      </c>
      <c r="H54" s="1388">
        <v>1.01</v>
      </c>
      <c r="I54" s="447" t="s">
        <v>935</v>
      </c>
    </row>
    <row r="55" spans="1:9" ht="15" thickBot="1" x14ac:dyDescent="0.4">
      <c r="A55" s="451"/>
      <c r="B55" s="452"/>
      <c r="C55" s="452"/>
      <c r="D55" s="453"/>
      <c r="E55" s="453"/>
      <c r="F55" s="454" t="s">
        <v>652</v>
      </c>
      <c r="G55" s="455"/>
      <c r="H55" s="1389"/>
      <c r="I55" s="1410">
        <f>AVERAGE(H44:H54)</f>
        <v>0.74515151515151523</v>
      </c>
    </row>
    <row r="56" spans="1:9" ht="15" thickBot="1" x14ac:dyDescent="0.4">
      <c r="A56" s="2254" t="s">
        <v>706</v>
      </c>
      <c r="B56" s="2259"/>
      <c r="C56" s="2259"/>
      <c r="D56" s="2259"/>
      <c r="E56" s="2259"/>
      <c r="F56" s="2259"/>
      <c r="G56" s="2255"/>
      <c r="H56" s="2259"/>
      <c r="I56" s="2260"/>
    </row>
    <row r="57" spans="1:9" ht="42" x14ac:dyDescent="0.35">
      <c r="A57" s="2265">
        <v>1</v>
      </c>
      <c r="B57" s="2276" t="s">
        <v>707</v>
      </c>
      <c r="C57" s="489" t="s">
        <v>708</v>
      </c>
      <c r="D57" s="438">
        <v>1</v>
      </c>
      <c r="E57" s="439">
        <v>6</v>
      </c>
      <c r="F57" s="439">
        <v>3</v>
      </c>
      <c r="G57" s="441">
        <f>F57/E57</f>
        <v>0.5</v>
      </c>
      <c r="H57" s="1387">
        <f>G57</f>
        <v>0.5</v>
      </c>
      <c r="I57" s="443" t="s">
        <v>936</v>
      </c>
    </row>
    <row r="58" spans="1:9" ht="56" x14ac:dyDescent="0.35">
      <c r="A58" s="2245"/>
      <c r="B58" s="2249"/>
      <c r="C58" s="532" t="s">
        <v>709</v>
      </c>
      <c r="D58" s="475">
        <v>2</v>
      </c>
      <c r="E58" s="445">
        <v>6</v>
      </c>
      <c r="F58" s="439">
        <v>0</v>
      </c>
      <c r="G58" s="450">
        <f>F58/E58</f>
        <v>0</v>
      </c>
      <c r="H58" s="1387">
        <f t="shared" ref="H58:H60" si="7">G58</f>
        <v>0</v>
      </c>
      <c r="I58" s="548" t="s">
        <v>710</v>
      </c>
    </row>
    <row r="59" spans="1:9" x14ac:dyDescent="0.35">
      <c r="A59" s="2245"/>
      <c r="B59" s="2249"/>
      <c r="C59" s="532" t="s">
        <v>711</v>
      </c>
      <c r="D59" s="475">
        <v>3</v>
      </c>
      <c r="E59" s="445">
        <v>1000</v>
      </c>
      <c r="F59" s="439">
        <v>0</v>
      </c>
      <c r="G59" s="450">
        <f>F59/E59</f>
        <v>0</v>
      </c>
      <c r="H59" s="1387">
        <f t="shared" si="7"/>
        <v>0</v>
      </c>
      <c r="I59" s="533" t="s">
        <v>712</v>
      </c>
    </row>
    <row r="60" spans="1:9" ht="42" x14ac:dyDescent="0.35">
      <c r="A60" s="2246"/>
      <c r="B60" s="2250"/>
      <c r="C60" s="532" t="s">
        <v>713</v>
      </c>
      <c r="D60" s="475">
        <v>4</v>
      </c>
      <c r="E60" s="445">
        <v>3</v>
      </c>
      <c r="F60" s="439">
        <v>1</v>
      </c>
      <c r="G60" s="450">
        <f>F60/E60</f>
        <v>0.33333333333333331</v>
      </c>
      <c r="H60" s="1387">
        <f t="shared" si="7"/>
        <v>0.33333333333333331</v>
      </c>
      <c r="I60" s="447" t="s">
        <v>714</v>
      </c>
    </row>
    <row r="61" spans="1:9" ht="15" thickBot="1" x14ac:dyDescent="0.4">
      <c r="A61" s="451"/>
      <c r="B61" s="452"/>
      <c r="C61" s="452"/>
      <c r="D61" s="453"/>
      <c r="E61" s="453"/>
      <c r="F61" s="454" t="s">
        <v>652</v>
      </c>
      <c r="G61" s="455"/>
      <c r="H61" s="1389"/>
      <c r="I61" s="1410">
        <f>AVERAGE(H57:H60)</f>
        <v>0.20833333333333331</v>
      </c>
    </row>
    <row r="62" spans="1:9" ht="15" thickBot="1" x14ac:dyDescent="0.4">
      <c r="A62" s="2254" t="s">
        <v>715</v>
      </c>
      <c r="B62" s="2259"/>
      <c r="C62" s="2259"/>
      <c r="D62" s="2259"/>
      <c r="E62" s="2259"/>
      <c r="F62" s="2259"/>
      <c r="G62" s="2255"/>
      <c r="H62" s="2259"/>
      <c r="I62" s="2260"/>
    </row>
    <row r="63" spans="1:9" ht="28" x14ac:dyDescent="0.35">
      <c r="A63" s="2277">
        <v>1</v>
      </c>
      <c r="B63" s="2276" t="s">
        <v>716</v>
      </c>
      <c r="C63" s="437" t="s">
        <v>717</v>
      </c>
      <c r="D63" s="549">
        <v>1</v>
      </c>
      <c r="E63" s="439">
        <v>100</v>
      </c>
      <c r="F63" s="439">
        <v>100</v>
      </c>
      <c r="G63" s="441">
        <f>F63/E63</f>
        <v>1</v>
      </c>
      <c r="H63" s="1387">
        <f>G63</f>
        <v>1</v>
      </c>
      <c r="I63" s="443" t="s">
        <v>718</v>
      </c>
    </row>
    <row r="64" spans="1:9" ht="56" x14ac:dyDescent="0.35">
      <c r="A64" s="2277"/>
      <c r="B64" s="2250"/>
      <c r="C64" s="550" t="s">
        <v>1462</v>
      </c>
      <c r="D64" s="445">
        <v>2</v>
      </c>
      <c r="E64" s="1414">
        <v>75</v>
      </c>
      <c r="F64" s="1414">
        <v>50</v>
      </c>
      <c r="G64" s="1416">
        <f>F64/E64</f>
        <v>0.66666666666666663</v>
      </c>
      <c r="H64" s="1415">
        <f>G64</f>
        <v>0.66666666666666663</v>
      </c>
      <c r="I64" s="550" t="s">
        <v>1464</v>
      </c>
    </row>
    <row r="65" spans="1:9" ht="30" x14ac:dyDescent="0.35">
      <c r="A65" s="2244">
        <v>2</v>
      </c>
      <c r="B65" s="2248" t="s">
        <v>719</v>
      </c>
      <c r="C65" s="551" t="s">
        <v>720</v>
      </c>
      <c r="D65" s="552">
        <v>3</v>
      </c>
      <c r="E65" s="946">
        <v>250000</v>
      </c>
      <c r="F65" s="553">
        <v>134084</v>
      </c>
      <c r="G65" s="450">
        <f>F65/E65</f>
        <v>0.53633600000000003</v>
      </c>
      <c r="H65" s="1387">
        <f t="shared" ref="H65:H67" si="8">G65</f>
        <v>0.53633600000000003</v>
      </c>
      <c r="I65" s="533" t="s">
        <v>721</v>
      </c>
    </row>
    <row r="66" spans="1:9" ht="30" x14ac:dyDescent="0.35">
      <c r="A66" s="2245"/>
      <c r="B66" s="2249"/>
      <c r="C66" s="554" t="s">
        <v>722</v>
      </c>
      <c r="D66" s="552">
        <v>4</v>
      </c>
      <c r="E66" s="947">
        <v>250000</v>
      </c>
      <c r="F66" s="553">
        <v>134084</v>
      </c>
      <c r="G66" s="450">
        <f>F66/E66</f>
        <v>0.53633600000000003</v>
      </c>
      <c r="H66" s="1387">
        <f t="shared" si="8"/>
        <v>0.53633600000000003</v>
      </c>
      <c r="I66" s="533" t="s">
        <v>721</v>
      </c>
    </row>
    <row r="67" spans="1:9" ht="60.5" thickBot="1" x14ac:dyDescent="0.4">
      <c r="A67" s="2245"/>
      <c r="B67" s="2249"/>
      <c r="C67" s="555" t="s">
        <v>1103</v>
      </c>
      <c r="D67" s="556">
        <v>5</v>
      </c>
      <c r="E67" s="17">
        <v>10</v>
      </c>
      <c r="F67" s="557">
        <v>5</v>
      </c>
      <c r="G67" s="558">
        <f>F67/E67</f>
        <v>0.5</v>
      </c>
      <c r="H67" s="1387">
        <f t="shared" si="8"/>
        <v>0.5</v>
      </c>
      <c r="I67" s="559" t="s">
        <v>723</v>
      </c>
    </row>
    <row r="68" spans="1:9" ht="15" thickBot="1" x14ac:dyDescent="0.4">
      <c r="A68" s="506"/>
      <c r="B68" s="507"/>
      <c r="C68" s="507"/>
      <c r="D68" s="560"/>
      <c r="E68" s="560"/>
      <c r="F68" s="561" t="s">
        <v>652</v>
      </c>
      <c r="G68" s="562"/>
      <c r="H68" s="1403"/>
      <c r="I68" s="1417">
        <f>AVERAGE(H63:H67)</f>
        <v>0.64786773333333325</v>
      </c>
    </row>
    <row r="69" spans="1:9" ht="15" thickBot="1" x14ac:dyDescent="0.4">
      <c r="A69" s="2254" t="s">
        <v>724</v>
      </c>
      <c r="B69" s="2259"/>
      <c r="C69" s="2259"/>
      <c r="D69" s="2259"/>
      <c r="E69" s="2259"/>
      <c r="F69" s="2259"/>
      <c r="G69" s="2259"/>
      <c r="H69" s="2259"/>
      <c r="I69" s="2260"/>
    </row>
    <row r="70" spans="1:9" ht="28" x14ac:dyDescent="0.35">
      <c r="A70" s="2265">
        <v>1</v>
      </c>
      <c r="B70" s="2278" t="s">
        <v>725</v>
      </c>
      <c r="C70" s="563" t="s">
        <v>726</v>
      </c>
      <c r="D70" s="438">
        <v>1</v>
      </c>
      <c r="E70" s="439">
        <v>2</v>
      </c>
      <c r="F70" s="439">
        <v>1</v>
      </c>
      <c r="G70" s="441">
        <f>F70/E70</f>
        <v>0.5</v>
      </c>
      <c r="H70" s="1387">
        <f>G70</f>
        <v>0.5</v>
      </c>
      <c r="I70" s="443" t="s">
        <v>1463</v>
      </c>
    </row>
    <row r="71" spans="1:9" ht="28.5" thickBot="1" x14ac:dyDescent="0.4">
      <c r="A71" s="2245"/>
      <c r="B71" s="2279"/>
      <c r="C71" s="564" t="s">
        <v>727</v>
      </c>
      <c r="D71" s="501">
        <v>2</v>
      </c>
      <c r="E71" s="945">
        <v>50000</v>
      </c>
      <c r="F71" s="565" t="s">
        <v>1104</v>
      </c>
      <c r="G71" s="566">
        <v>0</v>
      </c>
      <c r="H71" s="566">
        <f>G71</f>
        <v>0</v>
      </c>
      <c r="I71" s="567" t="s">
        <v>1105</v>
      </c>
    </row>
    <row r="72" spans="1:9" ht="15" thickBot="1" x14ac:dyDescent="0.4">
      <c r="A72" s="568"/>
      <c r="B72" s="569"/>
      <c r="C72" s="569"/>
      <c r="D72" s="510"/>
      <c r="E72" s="510"/>
      <c r="F72" s="511" t="s">
        <v>652</v>
      </c>
      <c r="G72" s="570"/>
      <c r="H72" s="1418"/>
      <c r="I72" s="1419">
        <f>AVERAGE(H70:H71)</f>
        <v>0.25</v>
      </c>
    </row>
    <row r="73" spans="1:9" ht="15" thickBot="1" x14ac:dyDescent="0.4">
      <c r="A73" s="2254" t="s">
        <v>728</v>
      </c>
      <c r="B73" s="2259"/>
      <c r="C73" s="2259"/>
      <c r="D73" s="2259"/>
      <c r="E73" s="2259"/>
      <c r="F73" s="2259"/>
      <c r="G73" s="2255"/>
      <c r="H73" s="2259"/>
      <c r="I73" s="2260"/>
    </row>
    <row r="74" spans="1:9" ht="45" x14ac:dyDescent="0.35">
      <c r="A74" s="2246">
        <v>1</v>
      </c>
      <c r="B74" s="2250" t="s">
        <v>729</v>
      </c>
      <c r="C74" s="571" t="s">
        <v>730</v>
      </c>
      <c r="D74" s="438">
        <v>1</v>
      </c>
      <c r="E74" s="572">
        <v>1300</v>
      </c>
      <c r="F74" s="572">
        <v>551</v>
      </c>
      <c r="G74" s="441">
        <f t="shared" ref="G74:G82" si="9">F74/E74</f>
        <v>0.42384615384615387</v>
      </c>
      <c r="H74" s="1387">
        <f>G74</f>
        <v>0.42384615384615387</v>
      </c>
      <c r="I74" s="489" t="s">
        <v>731</v>
      </c>
    </row>
    <row r="75" spans="1:9" ht="42" x14ac:dyDescent="0.35">
      <c r="A75" s="2257"/>
      <c r="B75" s="2247"/>
      <c r="C75" s="573" t="s">
        <v>732</v>
      </c>
      <c r="D75" s="475">
        <v>2</v>
      </c>
      <c r="E75" s="574">
        <v>1790</v>
      </c>
      <c r="F75" s="574">
        <v>1335</v>
      </c>
      <c r="G75" s="441">
        <f t="shared" si="9"/>
        <v>0.74581005586592175</v>
      </c>
      <c r="H75" s="1387">
        <f t="shared" ref="H75:H83" si="10">G75</f>
        <v>0.74581005586592175</v>
      </c>
      <c r="I75" s="532" t="s">
        <v>937</v>
      </c>
    </row>
    <row r="76" spans="1:9" ht="30" x14ac:dyDescent="0.35">
      <c r="A76" s="2257"/>
      <c r="B76" s="2247"/>
      <c r="C76" s="575" t="s">
        <v>733</v>
      </c>
      <c r="D76" s="475">
        <v>3</v>
      </c>
      <c r="E76" s="574">
        <v>350</v>
      </c>
      <c r="F76" s="574">
        <v>350</v>
      </c>
      <c r="G76" s="450">
        <f t="shared" si="9"/>
        <v>1</v>
      </c>
      <c r="H76" s="1387">
        <f t="shared" si="10"/>
        <v>1</v>
      </c>
      <c r="I76" s="447" t="s">
        <v>734</v>
      </c>
    </row>
    <row r="77" spans="1:9" ht="30" x14ac:dyDescent="0.35">
      <c r="A77" s="2257"/>
      <c r="B77" s="2247"/>
      <c r="C77" s="575" t="s">
        <v>735</v>
      </c>
      <c r="D77" s="475">
        <v>4</v>
      </c>
      <c r="E77" s="576">
        <v>4</v>
      </c>
      <c r="F77" s="576">
        <v>4</v>
      </c>
      <c r="G77" s="450">
        <f t="shared" si="9"/>
        <v>1</v>
      </c>
      <c r="H77" s="1387">
        <f t="shared" si="10"/>
        <v>1</v>
      </c>
      <c r="I77" s="447" t="s">
        <v>938</v>
      </c>
    </row>
    <row r="78" spans="1:9" ht="42" x14ac:dyDescent="0.35">
      <c r="A78" s="2257">
        <v>2</v>
      </c>
      <c r="B78" s="2247" t="s">
        <v>736</v>
      </c>
      <c r="C78" s="532" t="s">
        <v>737</v>
      </c>
      <c r="D78" s="475">
        <v>5</v>
      </c>
      <c r="E78" s="542">
        <v>1000</v>
      </c>
      <c r="F78" s="543">
        <v>1335</v>
      </c>
      <c r="G78" s="450">
        <f t="shared" si="9"/>
        <v>1.335</v>
      </c>
      <c r="H78" s="1387">
        <v>1.01</v>
      </c>
      <c r="I78" s="447" t="s">
        <v>738</v>
      </c>
    </row>
    <row r="79" spans="1:9" x14ac:dyDescent="0.35">
      <c r="A79" s="2257"/>
      <c r="B79" s="2247"/>
      <c r="C79" s="532" t="s">
        <v>739</v>
      </c>
      <c r="D79" s="475">
        <v>6</v>
      </c>
      <c r="E79" s="948">
        <v>10</v>
      </c>
      <c r="F79" s="948">
        <v>100</v>
      </c>
      <c r="G79" s="949">
        <f>E79/F79</f>
        <v>0.1</v>
      </c>
      <c r="H79" s="1387">
        <f t="shared" si="10"/>
        <v>0.1</v>
      </c>
      <c r="I79" s="950" t="s">
        <v>1106</v>
      </c>
    </row>
    <row r="80" spans="1:9" ht="42" x14ac:dyDescent="0.35">
      <c r="A80" s="2257"/>
      <c r="B80" s="2247"/>
      <c r="C80" s="532" t="s">
        <v>740</v>
      </c>
      <c r="D80" s="475">
        <v>7</v>
      </c>
      <c r="E80" s="542">
        <v>1000</v>
      </c>
      <c r="F80" s="543">
        <v>300</v>
      </c>
      <c r="G80" s="450">
        <f t="shared" si="9"/>
        <v>0.3</v>
      </c>
      <c r="H80" s="1387">
        <f t="shared" si="10"/>
        <v>0.3</v>
      </c>
      <c r="I80" s="447" t="s">
        <v>741</v>
      </c>
    </row>
    <row r="81" spans="1:9" ht="42" x14ac:dyDescent="0.35">
      <c r="A81" s="2280">
        <v>3</v>
      </c>
      <c r="B81" s="2247" t="s">
        <v>742</v>
      </c>
      <c r="C81" s="532" t="s">
        <v>743</v>
      </c>
      <c r="D81" s="475">
        <v>8</v>
      </c>
      <c r="E81" s="542">
        <v>3</v>
      </c>
      <c r="F81" s="544">
        <v>5</v>
      </c>
      <c r="G81" s="450">
        <f t="shared" si="9"/>
        <v>1.6666666666666667</v>
      </c>
      <c r="H81" s="1387">
        <v>1.01</v>
      </c>
      <c r="I81" s="447" t="s">
        <v>744</v>
      </c>
    </row>
    <row r="82" spans="1:9" ht="42" x14ac:dyDescent="0.35">
      <c r="A82" s="2280"/>
      <c r="B82" s="2247"/>
      <c r="C82" s="532" t="s">
        <v>745</v>
      </c>
      <c r="D82" s="475">
        <v>9</v>
      </c>
      <c r="E82" s="542">
        <v>2</v>
      </c>
      <c r="F82" s="544">
        <v>2</v>
      </c>
      <c r="G82" s="450">
        <f t="shared" si="9"/>
        <v>1</v>
      </c>
      <c r="H82" s="1387">
        <f t="shared" si="10"/>
        <v>1</v>
      </c>
      <c r="I82" s="447" t="s">
        <v>746</v>
      </c>
    </row>
    <row r="83" spans="1:9" ht="28.5" thickBot="1" x14ac:dyDescent="0.4">
      <c r="A83" s="319">
        <v>4</v>
      </c>
      <c r="B83" s="577" t="s">
        <v>747</v>
      </c>
      <c r="C83" s="500" t="s">
        <v>748</v>
      </c>
      <c r="D83" s="481">
        <v>10</v>
      </c>
      <c r="E83" s="578">
        <v>250</v>
      </c>
      <c r="F83" s="579">
        <v>250</v>
      </c>
      <c r="G83" s="558">
        <f>F83/E83</f>
        <v>1</v>
      </c>
      <c r="H83" s="1387">
        <f t="shared" si="10"/>
        <v>1</v>
      </c>
      <c r="I83" s="559" t="s">
        <v>749</v>
      </c>
    </row>
    <row r="84" spans="1:9" ht="15" thickBot="1" x14ac:dyDescent="0.4">
      <c r="A84" s="580"/>
      <c r="B84" s="581"/>
      <c r="C84" s="581"/>
      <c r="D84" s="582"/>
      <c r="E84" s="582"/>
      <c r="F84" s="583" t="s">
        <v>652</v>
      </c>
      <c r="G84" s="570"/>
      <c r="H84" s="1404"/>
      <c r="I84" s="1420">
        <f>AVERAGE(H74:H83)</f>
        <v>0.75896562097120746</v>
      </c>
    </row>
    <row r="85" spans="1:9" ht="15" thickBot="1" x14ac:dyDescent="0.4">
      <c r="A85" s="2254" t="s">
        <v>750</v>
      </c>
      <c r="B85" s="2259"/>
      <c r="C85" s="2259"/>
      <c r="D85" s="2259"/>
      <c r="E85" s="2259"/>
      <c r="F85" s="2259"/>
      <c r="G85" s="2259"/>
      <c r="H85" s="2259"/>
      <c r="I85" s="2260"/>
    </row>
    <row r="86" spans="1:9" ht="84" x14ac:dyDescent="0.35">
      <c r="A86" s="2265">
        <v>1</v>
      </c>
      <c r="B86" s="2276" t="s">
        <v>751</v>
      </c>
      <c r="C86" s="489" t="s">
        <v>752</v>
      </c>
      <c r="D86" s="438">
        <v>1</v>
      </c>
      <c r="E86" s="439">
        <v>12</v>
      </c>
      <c r="F86" s="439">
        <v>5</v>
      </c>
      <c r="G86" s="441">
        <f>F86/E86</f>
        <v>0.41666666666666669</v>
      </c>
      <c r="H86" s="1387">
        <f>G86</f>
        <v>0.41666666666666669</v>
      </c>
      <c r="I86" s="443" t="s">
        <v>753</v>
      </c>
    </row>
    <row r="87" spans="1:9" x14ac:dyDescent="0.35">
      <c r="A87" s="2245"/>
      <c r="B87" s="2249"/>
      <c r="C87" s="489" t="s">
        <v>754</v>
      </c>
      <c r="D87" s="438">
        <v>2</v>
      </c>
      <c r="E87" s="439"/>
      <c r="F87" s="439"/>
      <c r="G87" s="441"/>
      <c r="H87" s="1387" t="s">
        <v>1420</v>
      </c>
      <c r="I87" s="443" t="s">
        <v>660</v>
      </c>
    </row>
    <row r="88" spans="1:9" ht="15" thickBot="1" x14ac:dyDescent="0.4">
      <c r="A88" s="2245"/>
      <c r="B88" s="2249"/>
      <c r="C88" s="584" t="s">
        <v>755</v>
      </c>
      <c r="D88" s="501">
        <v>3</v>
      </c>
      <c r="E88" s="565"/>
      <c r="F88" s="565"/>
      <c r="G88" s="566"/>
      <c r="H88" s="566" t="s">
        <v>1420</v>
      </c>
      <c r="I88" s="567" t="s">
        <v>660</v>
      </c>
    </row>
    <row r="89" spans="1:9" ht="15" thickBot="1" x14ac:dyDescent="0.4">
      <c r="A89" s="568"/>
      <c r="B89" s="569"/>
      <c r="C89" s="569"/>
      <c r="D89" s="510"/>
      <c r="E89" s="510"/>
      <c r="F89" s="511" t="s">
        <v>652</v>
      </c>
      <c r="G89" s="585"/>
      <c r="H89" s="1405"/>
      <c r="I89" s="1419">
        <f>AVERAGE(H86:H88)</f>
        <v>0.41666666666666669</v>
      </c>
    </row>
    <row r="90" spans="1:9" ht="15" thickBot="1" x14ac:dyDescent="0.4">
      <c r="A90" s="2281" t="s">
        <v>756</v>
      </c>
      <c r="B90" s="2282"/>
      <c r="C90" s="2282"/>
      <c r="D90" s="2282"/>
      <c r="E90" s="2282"/>
      <c r="F90" s="2282"/>
      <c r="G90" s="2283"/>
      <c r="H90" s="2282"/>
      <c r="I90" s="2284"/>
    </row>
    <row r="91" spans="1:9" ht="126.5" thickBot="1" x14ac:dyDescent="0.4">
      <c r="A91" s="446">
        <v>1</v>
      </c>
      <c r="B91" s="2276" t="s">
        <v>757</v>
      </c>
      <c r="C91" s="586" t="s">
        <v>758</v>
      </c>
      <c r="D91" s="470">
        <v>1</v>
      </c>
      <c r="E91" s="487">
        <v>10</v>
      </c>
      <c r="F91" s="487">
        <v>3</v>
      </c>
      <c r="G91" s="1421">
        <f t="shared" ref="G91:G96" si="11">F91/E91</f>
        <v>0.3</v>
      </c>
      <c r="H91" s="587">
        <f>G91</f>
        <v>0.3</v>
      </c>
      <c r="I91" s="588" t="s">
        <v>759</v>
      </c>
    </row>
    <row r="92" spans="1:9" ht="30.5" thickBot="1" x14ac:dyDescent="0.4">
      <c r="A92" s="1423"/>
      <c r="B92" s="2285"/>
      <c r="C92" s="1424" t="s">
        <v>1465</v>
      </c>
      <c r="D92" s="887">
        <v>2</v>
      </c>
      <c r="E92" s="1425">
        <v>2</v>
      </c>
      <c r="F92" s="1425">
        <v>1</v>
      </c>
      <c r="G92" s="1421">
        <f t="shared" si="11"/>
        <v>0.5</v>
      </c>
      <c r="H92" s="587">
        <f>G92</f>
        <v>0.5</v>
      </c>
      <c r="I92" s="1426" t="s">
        <v>1466</v>
      </c>
    </row>
    <row r="93" spans="1:9" ht="42.5" thickBot="1" x14ac:dyDescent="0.4">
      <c r="A93" s="2257">
        <v>2</v>
      </c>
      <c r="B93" s="2248" t="s">
        <v>760</v>
      </c>
      <c r="C93" s="575" t="s">
        <v>761</v>
      </c>
      <c r="D93" s="475">
        <v>3</v>
      </c>
      <c r="E93" s="574">
        <v>66</v>
      </c>
      <c r="F93" s="589">
        <v>66</v>
      </c>
      <c r="G93" s="590">
        <f t="shared" si="11"/>
        <v>1</v>
      </c>
      <c r="H93" s="587">
        <f t="shared" ref="H93:H96" si="12">G93</f>
        <v>1</v>
      </c>
      <c r="I93" s="591" t="s">
        <v>762</v>
      </c>
    </row>
    <row r="94" spans="1:9" ht="45.5" thickBot="1" x14ac:dyDescent="0.4">
      <c r="A94" s="2257"/>
      <c r="B94" s="2249"/>
      <c r="C94" s="575" t="s">
        <v>763</v>
      </c>
      <c r="D94" s="475">
        <v>4</v>
      </c>
      <c r="E94" s="574">
        <v>20</v>
      </c>
      <c r="F94" s="574">
        <v>10</v>
      </c>
      <c r="G94" s="592">
        <f t="shared" si="11"/>
        <v>0.5</v>
      </c>
      <c r="H94" s="587">
        <f>G94</f>
        <v>0.5</v>
      </c>
      <c r="I94" s="593" t="s">
        <v>764</v>
      </c>
    </row>
    <row r="95" spans="1:9" ht="30.5" thickBot="1" x14ac:dyDescent="0.4">
      <c r="A95" s="2257"/>
      <c r="B95" s="2249"/>
      <c r="C95" s="575" t="s">
        <v>765</v>
      </c>
      <c r="D95" s="475">
        <v>5</v>
      </c>
      <c r="E95" s="574">
        <v>50</v>
      </c>
      <c r="F95" s="574">
        <v>30</v>
      </c>
      <c r="G95" s="592">
        <f t="shared" si="11"/>
        <v>0.6</v>
      </c>
      <c r="H95" s="587">
        <f t="shared" si="12"/>
        <v>0.6</v>
      </c>
      <c r="I95" s="593" t="s">
        <v>1467</v>
      </c>
    </row>
    <row r="96" spans="1:9" ht="30" x14ac:dyDescent="0.35">
      <c r="A96" s="2257"/>
      <c r="B96" s="2250"/>
      <c r="C96" s="575" t="s">
        <v>766</v>
      </c>
      <c r="D96" s="475">
        <v>6</v>
      </c>
      <c r="E96" s="574">
        <v>31</v>
      </c>
      <c r="F96" s="574">
        <v>0</v>
      </c>
      <c r="G96" s="592">
        <f t="shared" si="11"/>
        <v>0</v>
      </c>
      <c r="H96" s="587">
        <f t="shared" si="12"/>
        <v>0</v>
      </c>
      <c r="I96" s="594" t="s">
        <v>1107</v>
      </c>
    </row>
    <row r="97" spans="1:9" ht="15" thickBot="1" x14ac:dyDescent="0.4">
      <c r="A97" s="595"/>
      <c r="B97" s="596"/>
      <c r="C97" s="526"/>
      <c r="D97" s="597"/>
      <c r="E97" s="597"/>
      <c r="F97" s="598"/>
      <c r="G97" s="599"/>
      <c r="H97" s="1406"/>
      <c r="I97" s="1422">
        <f>AVERAGE(H91:H96)</f>
        <v>0.48333333333333334</v>
      </c>
    </row>
    <row r="98" spans="1:9" ht="15" thickBot="1" x14ac:dyDescent="0.4">
      <c r="A98" s="595"/>
      <c r="B98" s="596"/>
      <c r="C98" s="526"/>
      <c r="D98" s="597"/>
      <c r="E98" s="597"/>
      <c r="F98" s="598" t="s">
        <v>652</v>
      </c>
      <c r="G98" s="599"/>
      <c r="H98" s="1406">
        <f>AVERAGE(H7:H97)</f>
        <v>0.64717905445666057</v>
      </c>
      <c r="I98" s="1422">
        <f>AVERAGE(H92:H97)</f>
        <v>0.52</v>
      </c>
    </row>
  </sheetData>
  <mergeCells count="53">
    <mergeCell ref="A93:A96"/>
    <mergeCell ref="B93:B96"/>
    <mergeCell ref="A85:I85"/>
    <mergeCell ref="A86:A88"/>
    <mergeCell ref="B86:B88"/>
    <mergeCell ref="A90:I90"/>
    <mergeCell ref="B91:B92"/>
    <mergeCell ref="A74:A77"/>
    <mergeCell ref="B74:B77"/>
    <mergeCell ref="A78:A80"/>
    <mergeCell ref="B78:B80"/>
    <mergeCell ref="A81:A82"/>
    <mergeCell ref="B81:B82"/>
    <mergeCell ref="A73:I73"/>
    <mergeCell ref="A62:I62"/>
    <mergeCell ref="A63:A64"/>
    <mergeCell ref="B63:B64"/>
    <mergeCell ref="A65:A67"/>
    <mergeCell ref="B65:B67"/>
    <mergeCell ref="A69:I69"/>
    <mergeCell ref="A70:A71"/>
    <mergeCell ref="B70:B71"/>
    <mergeCell ref="A52:A54"/>
    <mergeCell ref="B52:B53"/>
    <mergeCell ref="A56:I56"/>
    <mergeCell ref="A57:A60"/>
    <mergeCell ref="B57:B60"/>
    <mergeCell ref="A39:A41"/>
    <mergeCell ref="B39:B41"/>
    <mergeCell ref="A43:I43"/>
    <mergeCell ref="A47:A49"/>
    <mergeCell ref="B47:B49"/>
    <mergeCell ref="A23:I23"/>
    <mergeCell ref="A25:A26"/>
    <mergeCell ref="B25:B26"/>
    <mergeCell ref="A18:I18"/>
    <mergeCell ref="A38:I38"/>
    <mergeCell ref="A19:A21"/>
    <mergeCell ref="B19:B21"/>
    <mergeCell ref="A29:I29"/>
    <mergeCell ref="A30:A36"/>
    <mergeCell ref="B30:B36"/>
    <mergeCell ref="A1:I1"/>
    <mergeCell ref="A3:I3"/>
    <mergeCell ref="A5:I5"/>
    <mergeCell ref="A7:A8"/>
    <mergeCell ref="B7:B8"/>
    <mergeCell ref="A2:I2"/>
    <mergeCell ref="A9:A11"/>
    <mergeCell ref="B9:B11"/>
    <mergeCell ref="A12:A15"/>
    <mergeCell ref="B12:B15"/>
    <mergeCell ref="A17:I17"/>
  </mergeCells>
  <phoneticPr fontId="160" type="noConversion"/>
  <printOptions horizontalCentered="1"/>
  <pageMargins left="0.31496062992125984" right="0.31496062992125984" top="0.35433070866141736" bottom="0.35433070866141736" header="0.31496062992125984" footer="0.31496062992125984"/>
  <pageSetup scale="76"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81CA-2E0C-4317-8577-30BECE97493E}">
  <sheetPr>
    <tabColor rgb="FF00B0F0"/>
  </sheetPr>
  <dimension ref="A1:J49"/>
  <sheetViews>
    <sheetView view="pageBreakPreview" topLeftCell="A43" zoomScale="60" zoomScaleNormal="100" workbookViewId="0">
      <selection sqref="A1:I1"/>
    </sheetView>
  </sheetViews>
  <sheetFormatPr defaultRowHeight="14.5" x14ac:dyDescent="0.35"/>
  <cols>
    <col min="1" max="1" width="8.26953125" customWidth="1"/>
    <col min="2" max="2" width="32.81640625" customWidth="1"/>
    <col min="3" max="3" width="38.54296875" customWidth="1"/>
    <col min="4" max="4" width="6.7265625" customWidth="1"/>
    <col min="6" max="6" width="12.54296875" customWidth="1"/>
    <col min="7" max="8" width="12" customWidth="1"/>
    <col min="9" max="9" width="32.26953125" customWidth="1"/>
    <col min="10" max="10" width="22.7265625" customWidth="1"/>
  </cols>
  <sheetData>
    <row r="1" spans="1:10" ht="18.5" x14ac:dyDescent="0.45">
      <c r="A1" s="2027" t="s">
        <v>567</v>
      </c>
      <c r="B1" s="2027"/>
      <c r="C1" s="2027"/>
      <c r="D1" s="2027"/>
      <c r="E1" s="2027"/>
      <c r="F1" s="2027"/>
      <c r="G1" s="2027"/>
      <c r="H1" s="2027"/>
      <c r="I1" s="2027"/>
    </row>
    <row r="2" spans="1:10" ht="19" thickBot="1" x14ac:dyDescent="0.5">
      <c r="A2" s="2068" t="s">
        <v>1029</v>
      </c>
      <c r="B2" s="2068"/>
      <c r="C2" s="2068"/>
      <c r="D2" s="2068"/>
      <c r="E2" s="2068"/>
      <c r="F2" s="2068"/>
      <c r="G2" s="2068"/>
      <c r="H2" s="2068"/>
      <c r="I2" s="2068"/>
      <c r="J2" s="884"/>
    </row>
    <row r="3" spans="1:10" ht="26.5" thickBot="1" x14ac:dyDescent="0.4">
      <c r="A3" s="363" t="s">
        <v>276</v>
      </c>
      <c r="B3" s="364" t="s">
        <v>159</v>
      </c>
      <c r="C3" s="365" t="s">
        <v>4</v>
      </c>
      <c r="D3" s="366" t="s">
        <v>5</v>
      </c>
      <c r="E3" s="367" t="s">
        <v>6</v>
      </c>
      <c r="F3" s="366" t="s">
        <v>570</v>
      </c>
      <c r="G3" s="368" t="s">
        <v>25</v>
      </c>
      <c r="H3" s="368" t="s">
        <v>1418</v>
      </c>
      <c r="I3" s="369" t="s">
        <v>279</v>
      </c>
    </row>
    <row r="4" spans="1:10" ht="15" thickBot="1" x14ac:dyDescent="0.4">
      <c r="A4" s="2180" t="s">
        <v>568</v>
      </c>
      <c r="B4" s="2181"/>
      <c r="C4" s="2181"/>
      <c r="D4" s="2181"/>
      <c r="E4" s="2181"/>
      <c r="F4" s="2181"/>
      <c r="G4" s="2181"/>
      <c r="H4" s="2181"/>
      <c r="I4" s="2182"/>
    </row>
    <row r="5" spans="1:10" ht="15" thickBot="1" x14ac:dyDescent="0.4"/>
    <row r="6" spans="1:10" ht="15" thickBot="1" x14ac:dyDescent="0.4">
      <c r="A6" s="2286" t="s">
        <v>569</v>
      </c>
      <c r="B6" s="2287"/>
      <c r="C6" s="2287"/>
      <c r="D6" s="2287"/>
      <c r="E6" s="2287"/>
      <c r="F6" s="2287"/>
      <c r="G6" s="2287"/>
      <c r="H6" s="2287"/>
      <c r="I6" s="2288"/>
    </row>
    <row r="8" spans="1:10" ht="56" x14ac:dyDescent="0.35">
      <c r="A8" s="2289">
        <v>1</v>
      </c>
      <c r="B8" s="2290" t="s">
        <v>571</v>
      </c>
      <c r="C8" s="370" t="s">
        <v>572</v>
      </c>
      <c r="D8" s="371">
        <v>1</v>
      </c>
      <c r="E8" s="371">
        <v>27</v>
      </c>
      <c r="F8" s="371">
        <v>13</v>
      </c>
      <c r="G8" s="372">
        <f>F8/E8</f>
        <v>0.48148148148148145</v>
      </c>
      <c r="H8" s="1427">
        <f>G8</f>
        <v>0.48148148148148145</v>
      </c>
      <c r="I8" s="154" t="s">
        <v>573</v>
      </c>
    </row>
    <row r="9" spans="1:10" ht="28" x14ac:dyDescent="0.35">
      <c r="A9" s="2289"/>
      <c r="B9" s="2290"/>
      <c r="C9" s="370" t="s">
        <v>574</v>
      </c>
      <c r="D9" s="371">
        <v>2</v>
      </c>
      <c r="E9" s="371">
        <v>80</v>
      </c>
      <c r="F9" s="371">
        <v>98</v>
      </c>
      <c r="G9" s="372">
        <f t="shared" ref="G9:G33" si="0">F9/E9</f>
        <v>1.2250000000000001</v>
      </c>
      <c r="H9" s="1427">
        <v>1.01</v>
      </c>
      <c r="I9" s="154" t="s">
        <v>573</v>
      </c>
    </row>
    <row r="10" spans="1:10" ht="28" x14ac:dyDescent="0.35">
      <c r="A10" s="2289"/>
      <c r="B10" s="2290"/>
      <c r="C10" s="370" t="s">
        <v>575</v>
      </c>
      <c r="D10" s="371">
        <v>3</v>
      </c>
      <c r="E10" s="371">
        <v>100</v>
      </c>
      <c r="F10" s="371">
        <v>220</v>
      </c>
      <c r="G10" s="372">
        <f t="shared" si="0"/>
        <v>2.2000000000000002</v>
      </c>
      <c r="H10" s="1427">
        <v>1.01</v>
      </c>
      <c r="I10" s="154" t="s">
        <v>573</v>
      </c>
    </row>
    <row r="11" spans="1:10" ht="28" x14ac:dyDescent="0.35">
      <c r="A11" s="2289"/>
      <c r="B11" s="2290"/>
      <c r="C11" s="370" t="s">
        <v>576</v>
      </c>
      <c r="D11" s="371">
        <v>4</v>
      </c>
      <c r="E11" s="371">
        <v>150</v>
      </c>
      <c r="F11" s="371">
        <v>196</v>
      </c>
      <c r="G11" s="372">
        <f t="shared" si="0"/>
        <v>1.3066666666666666</v>
      </c>
      <c r="H11" s="1427">
        <v>1.01</v>
      </c>
      <c r="I11" s="154"/>
    </row>
    <row r="12" spans="1:10" ht="42" x14ac:dyDescent="0.35">
      <c r="A12" s="2289"/>
      <c r="B12" s="2290"/>
      <c r="C12" s="370" t="s">
        <v>577</v>
      </c>
      <c r="D12" s="371">
        <v>5</v>
      </c>
      <c r="E12" s="371">
        <v>100</v>
      </c>
      <c r="F12" s="371">
        <v>50</v>
      </c>
      <c r="G12" s="372">
        <f t="shared" si="0"/>
        <v>0.5</v>
      </c>
      <c r="H12" s="1427">
        <f t="shared" ref="H12:H33" si="1">G12</f>
        <v>0.5</v>
      </c>
      <c r="I12" s="154" t="s">
        <v>578</v>
      </c>
    </row>
    <row r="13" spans="1:10" ht="28" x14ac:dyDescent="0.35">
      <c r="A13" s="2289"/>
      <c r="B13" s="2290"/>
      <c r="C13" s="370" t="s">
        <v>579</v>
      </c>
      <c r="D13" s="371">
        <v>6</v>
      </c>
      <c r="E13" s="371">
        <v>469</v>
      </c>
      <c r="F13" s="371">
        <v>632</v>
      </c>
      <c r="G13" s="372">
        <f t="shared" si="0"/>
        <v>1.347547974413646</v>
      </c>
      <c r="H13" s="1427">
        <v>0.1</v>
      </c>
      <c r="I13" s="154" t="s">
        <v>573</v>
      </c>
    </row>
    <row r="14" spans="1:10" ht="56" x14ac:dyDescent="0.35">
      <c r="A14" s="2289"/>
      <c r="B14" s="2290"/>
      <c r="C14" s="370" t="s">
        <v>580</v>
      </c>
      <c r="D14" s="371">
        <v>7</v>
      </c>
      <c r="E14" s="371">
        <v>4</v>
      </c>
      <c r="F14" s="371">
        <v>1</v>
      </c>
      <c r="G14" s="372">
        <f t="shared" si="0"/>
        <v>0.25</v>
      </c>
      <c r="H14" s="1427">
        <f t="shared" si="1"/>
        <v>0.25</v>
      </c>
      <c r="I14" s="373" t="s">
        <v>581</v>
      </c>
    </row>
    <row r="15" spans="1:10" ht="28" x14ac:dyDescent="0.35">
      <c r="A15" s="2289">
        <v>2</v>
      </c>
      <c r="B15" s="2290" t="s">
        <v>582</v>
      </c>
      <c r="C15" s="370" t="s">
        <v>583</v>
      </c>
      <c r="D15" s="371">
        <v>8</v>
      </c>
      <c r="E15" s="374">
        <v>60</v>
      </c>
      <c r="F15" s="374">
        <v>50</v>
      </c>
      <c r="G15" s="372">
        <f t="shared" si="0"/>
        <v>0.83333333333333337</v>
      </c>
      <c r="H15" s="1427">
        <f t="shared" si="1"/>
        <v>0.83333333333333337</v>
      </c>
      <c r="I15" s="154" t="s">
        <v>584</v>
      </c>
    </row>
    <row r="16" spans="1:10" ht="28" x14ac:dyDescent="0.35">
      <c r="A16" s="2289"/>
      <c r="B16" s="2290"/>
      <c r="C16" s="370" t="s">
        <v>585</v>
      </c>
      <c r="D16" s="371">
        <v>9</v>
      </c>
      <c r="E16" s="375">
        <v>300</v>
      </c>
      <c r="F16" s="371">
        <v>218</v>
      </c>
      <c r="G16" s="372">
        <f t="shared" si="0"/>
        <v>0.72666666666666668</v>
      </c>
      <c r="H16" s="1427">
        <f t="shared" si="1"/>
        <v>0.72666666666666668</v>
      </c>
      <c r="I16" s="154" t="s">
        <v>578</v>
      </c>
    </row>
    <row r="17" spans="1:10" ht="28" x14ac:dyDescent="0.35">
      <c r="A17" s="2289"/>
      <c r="B17" s="2290"/>
      <c r="C17" s="370" t="s">
        <v>586</v>
      </c>
      <c r="D17" s="371">
        <v>10</v>
      </c>
      <c r="E17" s="376">
        <v>500</v>
      </c>
      <c r="F17" s="371">
        <v>607</v>
      </c>
      <c r="G17" s="372">
        <f t="shared" si="0"/>
        <v>1.214</v>
      </c>
      <c r="H17" s="1427">
        <v>1.01</v>
      </c>
      <c r="I17" s="154" t="s">
        <v>578</v>
      </c>
    </row>
    <row r="18" spans="1:10" ht="56" x14ac:dyDescent="0.35">
      <c r="A18" s="2289"/>
      <c r="B18" s="2290"/>
      <c r="C18" s="370" t="s">
        <v>587</v>
      </c>
      <c r="D18" s="371">
        <v>11</v>
      </c>
      <c r="E18" s="371">
        <v>12</v>
      </c>
      <c r="F18" s="371">
        <v>12</v>
      </c>
      <c r="G18" s="372">
        <f t="shared" si="0"/>
        <v>1</v>
      </c>
      <c r="H18" s="1427">
        <f t="shared" si="1"/>
        <v>1</v>
      </c>
      <c r="I18" s="373" t="s">
        <v>588</v>
      </c>
    </row>
    <row r="19" spans="1:10" x14ac:dyDescent="0.35">
      <c r="A19" s="2289">
        <v>3</v>
      </c>
      <c r="B19" s="2290" t="s">
        <v>589</v>
      </c>
      <c r="C19" s="137" t="s">
        <v>590</v>
      </c>
      <c r="D19" s="371">
        <v>12</v>
      </c>
      <c r="E19" s="377">
        <v>9320000</v>
      </c>
      <c r="F19" s="378">
        <v>8532000</v>
      </c>
      <c r="G19" s="141">
        <f t="shared" si="0"/>
        <v>0.91545064377682406</v>
      </c>
      <c r="H19" s="1427">
        <f t="shared" si="1"/>
        <v>0.91545064377682406</v>
      </c>
      <c r="I19" s="379"/>
    </row>
    <row r="20" spans="1:10" x14ac:dyDescent="0.35">
      <c r="A20" s="2289"/>
      <c r="B20" s="2290"/>
      <c r="C20" s="137" t="s">
        <v>591</v>
      </c>
      <c r="D20" s="371">
        <v>13</v>
      </c>
      <c r="E20" s="377">
        <v>6848500</v>
      </c>
      <c r="F20" s="378">
        <v>6177600</v>
      </c>
      <c r="G20" s="141">
        <f t="shared" si="0"/>
        <v>0.90203694239614518</v>
      </c>
      <c r="H20" s="1427">
        <f t="shared" si="1"/>
        <v>0.90203694239614518</v>
      </c>
      <c r="I20" s="379"/>
    </row>
    <row r="21" spans="1:10" x14ac:dyDescent="0.35">
      <c r="A21" s="2289"/>
      <c r="B21" s="2290"/>
      <c r="C21" s="137" t="s">
        <v>592</v>
      </c>
      <c r="D21" s="371">
        <v>14</v>
      </c>
      <c r="E21" s="377">
        <v>2852232</v>
      </c>
      <c r="F21" s="380">
        <v>7188480</v>
      </c>
      <c r="G21" s="141">
        <f t="shared" si="0"/>
        <v>2.5202998914534303</v>
      </c>
      <c r="H21" s="1427">
        <v>1.01</v>
      </c>
      <c r="I21" s="379"/>
    </row>
    <row r="22" spans="1:10" ht="28" x14ac:dyDescent="0.35">
      <c r="A22" s="2289">
        <v>4</v>
      </c>
      <c r="B22" s="2290" t="s">
        <v>593</v>
      </c>
      <c r="C22" s="137" t="s">
        <v>594</v>
      </c>
      <c r="D22" s="371">
        <v>15</v>
      </c>
      <c r="E22" s="381">
        <v>84</v>
      </c>
      <c r="F22" s="140">
        <v>75</v>
      </c>
      <c r="G22" s="141">
        <f t="shared" si="0"/>
        <v>0.8928571428571429</v>
      </c>
      <c r="H22" s="1427">
        <f t="shared" si="1"/>
        <v>0.8928571428571429</v>
      </c>
      <c r="I22" s="382"/>
    </row>
    <row r="23" spans="1:10" ht="28" x14ac:dyDescent="0.35">
      <c r="A23" s="2289"/>
      <c r="B23" s="2290"/>
      <c r="C23" s="137" t="s">
        <v>595</v>
      </c>
      <c r="D23" s="371">
        <v>16</v>
      </c>
      <c r="E23" s="381">
        <v>42</v>
      </c>
      <c r="F23" s="140">
        <v>35</v>
      </c>
      <c r="G23" s="141">
        <f t="shared" si="0"/>
        <v>0.83333333333333337</v>
      </c>
      <c r="H23" s="1427">
        <f t="shared" si="1"/>
        <v>0.83333333333333337</v>
      </c>
      <c r="I23" s="382"/>
    </row>
    <row r="24" spans="1:10" x14ac:dyDescent="0.35">
      <c r="A24" s="2289"/>
      <c r="B24" s="2290"/>
      <c r="C24" s="137" t="s">
        <v>596</v>
      </c>
      <c r="D24" s="371">
        <v>17</v>
      </c>
      <c r="E24" s="381">
        <v>20</v>
      </c>
      <c r="F24" s="140">
        <v>18</v>
      </c>
      <c r="G24" s="141">
        <f t="shared" si="0"/>
        <v>0.9</v>
      </c>
      <c r="H24" s="1427">
        <f t="shared" si="1"/>
        <v>0.9</v>
      </c>
      <c r="I24" s="382"/>
    </row>
    <row r="25" spans="1:10" ht="42" x14ac:dyDescent="0.35">
      <c r="A25" s="2291">
        <v>5</v>
      </c>
      <c r="B25" s="2290" t="s">
        <v>597</v>
      </c>
      <c r="C25" s="137" t="s">
        <v>598</v>
      </c>
      <c r="D25" s="371">
        <v>18</v>
      </c>
      <c r="E25" s="383">
        <v>17</v>
      </c>
      <c r="F25" s="138">
        <v>4</v>
      </c>
      <c r="G25" s="141">
        <f t="shared" si="0"/>
        <v>0.23529411764705882</v>
      </c>
      <c r="H25" s="1427">
        <f t="shared" si="1"/>
        <v>0.23529411764705882</v>
      </c>
      <c r="I25" s="154" t="s">
        <v>599</v>
      </c>
    </row>
    <row r="26" spans="1:10" ht="43.5" x14ac:dyDescent="0.35">
      <c r="A26" s="2291"/>
      <c r="B26" s="2290"/>
      <c r="C26" s="137" t="s">
        <v>600</v>
      </c>
      <c r="D26" s="371">
        <v>19</v>
      </c>
      <c r="E26" s="383">
        <v>17</v>
      </c>
      <c r="F26" s="138">
        <v>4</v>
      </c>
      <c r="G26" s="141">
        <f t="shared" si="0"/>
        <v>0.23529411764705882</v>
      </c>
      <c r="H26" s="1427">
        <f t="shared" si="1"/>
        <v>0.23529411764705882</v>
      </c>
      <c r="I26" s="384"/>
      <c r="J26" s="172" t="s">
        <v>601</v>
      </c>
    </row>
    <row r="27" spans="1:10" ht="28" x14ac:dyDescent="0.35">
      <c r="A27" s="2291"/>
      <c r="B27" s="2290"/>
      <c r="C27" s="137" t="s">
        <v>602</v>
      </c>
      <c r="D27" s="371">
        <v>20</v>
      </c>
      <c r="E27" s="385">
        <v>89</v>
      </c>
      <c r="F27" s="386">
        <v>88</v>
      </c>
      <c r="G27" s="141">
        <f t="shared" si="0"/>
        <v>0.9887640449438202</v>
      </c>
      <c r="H27" s="1427">
        <f t="shared" si="1"/>
        <v>0.9887640449438202</v>
      </c>
      <c r="I27" s="387"/>
    </row>
    <row r="28" spans="1:10" ht="28" x14ac:dyDescent="0.35">
      <c r="A28" s="2291"/>
      <c r="B28" s="2290"/>
      <c r="C28" s="137" t="s">
        <v>603</v>
      </c>
      <c r="D28" s="371">
        <v>21</v>
      </c>
      <c r="E28" s="388">
        <v>60</v>
      </c>
      <c r="F28" s="235">
        <v>20</v>
      </c>
      <c r="G28" s="141">
        <f t="shared" si="0"/>
        <v>0.33333333333333331</v>
      </c>
      <c r="H28" s="1427">
        <f t="shared" si="1"/>
        <v>0.33333333333333331</v>
      </c>
      <c r="I28" s="389"/>
    </row>
    <row r="29" spans="1:10" ht="43.5" x14ac:dyDescent="0.35">
      <c r="A29" s="2289">
        <v>6</v>
      </c>
      <c r="B29" s="2290" t="s">
        <v>604</v>
      </c>
      <c r="C29" s="137" t="s">
        <v>605</v>
      </c>
      <c r="D29" s="371">
        <v>22</v>
      </c>
      <c r="E29" s="383">
        <v>100</v>
      </c>
      <c r="F29" s="138">
        <v>100</v>
      </c>
      <c r="G29" s="141">
        <f t="shared" si="0"/>
        <v>1</v>
      </c>
      <c r="H29" s="1427">
        <f t="shared" si="1"/>
        <v>1</v>
      </c>
      <c r="I29" s="373" t="s">
        <v>606</v>
      </c>
      <c r="J29" s="172" t="s">
        <v>607</v>
      </c>
    </row>
    <row r="30" spans="1:10" ht="43.5" x14ac:dyDescent="0.35">
      <c r="A30" s="2289"/>
      <c r="B30" s="2290"/>
      <c r="C30" s="137" t="s">
        <v>608</v>
      </c>
      <c r="D30" s="371">
        <v>23</v>
      </c>
      <c r="E30" s="383">
        <v>100</v>
      </c>
      <c r="F30" s="138">
        <v>100</v>
      </c>
      <c r="G30" s="141">
        <f t="shared" si="0"/>
        <v>1</v>
      </c>
      <c r="H30" s="1427">
        <f t="shared" si="1"/>
        <v>1</v>
      </c>
      <c r="I30" s="373" t="s">
        <v>609</v>
      </c>
      <c r="J30" s="172" t="s">
        <v>610</v>
      </c>
    </row>
    <row r="31" spans="1:10" x14ac:dyDescent="0.35">
      <c r="A31" s="2289"/>
      <c r="B31" s="2290"/>
      <c r="C31" s="137" t="s">
        <v>611</v>
      </c>
      <c r="D31" s="371">
        <v>24</v>
      </c>
      <c r="E31" s="385">
        <v>50</v>
      </c>
      <c r="F31" s="386">
        <v>50</v>
      </c>
      <c r="G31" s="141">
        <f t="shared" si="0"/>
        <v>1</v>
      </c>
      <c r="H31" s="1427">
        <f t="shared" si="1"/>
        <v>1</v>
      </c>
      <c r="I31" s="390"/>
      <c r="J31" s="172" t="s">
        <v>612</v>
      </c>
    </row>
    <row r="32" spans="1:10" ht="28" x14ac:dyDescent="0.35">
      <c r="A32" s="2289">
        <v>7</v>
      </c>
      <c r="B32" s="2293" t="s">
        <v>613</v>
      </c>
      <c r="C32" s="391" t="s">
        <v>614</v>
      </c>
      <c r="D32" s="371">
        <v>25</v>
      </c>
      <c r="E32" s="385">
        <v>400</v>
      </c>
      <c r="F32" s="392">
        <v>0</v>
      </c>
      <c r="G32" s="141">
        <f t="shared" si="0"/>
        <v>0</v>
      </c>
      <c r="H32" s="1427">
        <f t="shared" si="1"/>
        <v>0</v>
      </c>
      <c r="I32" s="389"/>
    </row>
    <row r="33" spans="1:9" ht="28.5" thickBot="1" x14ac:dyDescent="0.4">
      <c r="A33" s="2292"/>
      <c r="B33" s="2294"/>
      <c r="C33" s="393" t="s">
        <v>615</v>
      </c>
      <c r="D33" s="371">
        <v>26</v>
      </c>
      <c r="E33" s="394">
        <v>300</v>
      </c>
      <c r="F33" s="395">
        <v>0</v>
      </c>
      <c r="G33" s="141">
        <f t="shared" si="0"/>
        <v>0</v>
      </c>
      <c r="H33" s="1427">
        <f t="shared" si="1"/>
        <v>0</v>
      </c>
      <c r="I33" s="396"/>
    </row>
    <row r="34" spans="1:9" ht="15" thickBot="1" x14ac:dyDescent="0.4">
      <c r="A34" s="397"/>
      <c r="B34" s="398"/>
      <c r="C34" s="399" t="s">
        <v>616</v>
      </c>
      <c r="D34" s="400"/>
      <c r="E34" s="401"/>
      <c r="F34" s="402"/>
      <c r="G34" s="403"/>
      <c r="H34" s="1430"/>
      <c r="I34" s="1433">
        <f>AVERAGE(H8:H33)</f>
        <v>0.69914789066985372</v>
      </c>
    </row>
    <row r="35" spans="1:9" ht="15" thickBot="1" x14ac:dyDescent="0.4">
      <c r="A35" s="2295" t="s">
        <v>617</v>
      </c>
      <c r="B35" s="2296"/>
      <c r="C35" s="2296"/>
      <c r="D35" s="2296"/>
      <c r="E35" s="2296"/>
      <c r="F35" s="2296"/>
      <c r="G35" s="2296"/>
      <c r="H35" s="2296"/>
      <c r="I35" s="2297"/>
    </row>
    <row r="36" spans="1:9" x14ac:dyDescent="0.35">
      <c r="A36" s="2298">
        <v>8</v>
      </c>
      <c r="B36" s="2299" t="s">
        <v>618</v>
      </c>
      <c r="C36" s="391" t="s">
        <v>619</v>
      </c>
      <c r="D36" s="138">
        <v>1</v>
      </c>
      <c r="E36" s="383">
        <v>4</v>
      </c>
      <c r="F36" s="138">
        <v>1</v>
      </c>
      <c r="G36" s="141">
        <f t="shared" ref="G36:G39" si="2">F36/E36</f>
        <v>0.25</v>
      </c>
      <c r="H36" s="1428">
        <f>G36</f>
        <v>0.25</v>
      </c>
      <c r="I36" s="404" t="s">
        <v>620</v>
      </c>
    </row>
    <row r="37" spans="1:9" x14ac:dyDescent="0.35">
      <c r="A37" s="2298"/>
      <c r="B37" s="2299"/>
      <c r="C37" s="391" t="s">
        <v>621</v>
      </c>
      <c r="D37" s="138">
        <v>2</v>
      </c>
      <c r="E37" s="381">
        <v>2</v>
      </c>
      <c r="F37" s="140">
        <v>0</v>
      </c>
      <c r="G37" s="141">
        <f t="shared" si="2"/>
        <v>0</v>
      </c>
      <c r="H37" s="1428">
        <f t="shared" ref="H37:H39" si="3">G37</f>
        <v>0</v>
      </c>
      <c r="I37" s="405"/>
    </row>
    <row r="38" spans="1:9" x14ac:dyDescent="0.35">
      <c r="A38" s="2298"/>
      <c r="B38" s="2299"/>
      <c r="C38" s="391" t="s">
        <v>622</v>
      </c>
      <c r="D38" s="138">
        <v>3</v>
      </c>
      <c r="E38" s="383">
        <v>1</v>
      </c>
      <c r="F38" s="138">
        <v>2</v>
      </c>
      <c r="G38" s="141">
        <f t="shared" si="2"/>
        <v>2</v>
      </c>
      <c r="H38" s="1428">
        <v>1.01</v>
      </c>
      <c r="I38" s="404" t="s">
        <v>623</v>
      </c>
    </row>
    <row r="39" spans="1:9" ht="28.5" x14ac:dyDescent="0.35">
      <c r="A39" s="406">
        <v>9</v>
      </c>
      <c r="B39" s="407" t="s">
        <v>624</v>
      </c>
      <c r="C39" s="408" t="s">
        <v>625</v>
      </c>
      <c r="D39" s="138">
        <v>4</v>
      </c>
      <c r="E39" s="381">
        <v>3.5</v>
      </c>
      <c r="F39" s="140">
        <v>3.5</v>
      </c>
      <c r="G39" s="141">
        <f t="shared" si="2"/>
        <v>1</v>
      </c>
      <c r="H39" s="1428">
        <f t="shared" si="3"/>
        <v>1</v>
      </c>
      <c r="I39" s="382"/>
    </row>
    <row r="40" spans="1:9" ht="15" thickBot="1" x14ac:dyDescent="0.4">
      <c r="A40" s="409"/>
      <c r="B40" s="410"/>
      <c r="C40" s="411" t="s">
        <v>616</v>
      </c>
      <c r="D40" s="412"/>
      <c r="E40" s="413"/>
      <c r="F40" s="413"/>
      <c r="G40" s="414" t="s">
        <v>636</v>
      </c>
      <c r="H40" s="1431"/>
      <c r="I40" s="1434">
        <f>AVERAGE(H36:H39)</f>
        <v>0.56499999999999995</v>
      </c>
    </row>
    <row r="41" spans="1:9" ht="16" thickBot="1" x14ac:dyDescent="0.4">
      <c r="A41" s="2300" t="s">
        <v>626</v>
      </c>
      <c r="B41" s="2301"/>
      <c r="C41" s="2301"/>
      <c r="D41" s="2301"/>
      <c r="E41" s="2301"/>
      <c r="F41" s="2301"/>
      <c r="G41" s="2301"/>
      <c r="H41" s="2302"/>
      <c r="I41" s="2303"/>
    </row>
    <row r="42" spans="1:9" ht="31" x14ac:dyDescent="0.35">
      <c r="A42" s="2289">
        <v>10</v>
      </c>
      <c r="B42" s="2290" t="s">
        <v>627</v>
      </c>
      <c r="C42" s="415" t="s">
        <v>628</v>
      </c>
      <c r="D42" s="416">
        <v>1</v>
      </c>
      <c r="E42" s="383">
        <v>80</v>
      </c>
      <c r="F42" s="371">
        <v>70</v>
      </c>
      <c r="G42" s="141">
        <f t="shared" ref="G42:G47" si="4">F42/E42</f>
        <v>0.875</v>
      </c>
      <c r="H42" s="1429">
        <f t="shared" ref="H42:H46" si="5">G42</f>
        <v>0.875</v>
      </c>
      <c r="I42" s="417" t="s">
        <v>629</v>
      </c>
    </row>
    <row r="43" spans="1:9" ht="31" x14ac:dyDescent="0.35">
      <c r="A43" s="2289"/>
      <c r="B43" s="2290"/>
      <c r="C43" s="415" t="s">
        <v>630</v>
      </c>
      <c r="D43" s="416">
        <v>2</v>
      </c>
      <c r="E43" s="383">
        <v>40</v>
      </c>
      <c r="F43" s="371">
        <v>24</v>
      </c>
      <c r="G43" s="141">
        <f t="shared" si="4"/>
        <v>0.6</v>
      </c>
      <c r="H43" s="1429">
        <f t="shared" si="5"/>
        <v>0.6</v>
      </c>
      <c r="I43" s="417" t="s">
        <v>629</v>
      </c>
    </row>
    <row r="44" spans="1:9" ht="31" x14ac:dyDescent="0.35">
      <c r="A44" s="2289"/>
      <c r="B44" s="2290"/>
      <c r="C44" s="415" t="s">
        <v>631</v>
      </c>
      <c r="D44" s="416">
        <v>3</v>
      </c>
      <c r="E44" s="383">
        <v>70</v>
      </c>
      <c r="F44" s="371">
        <v>35</v>
      </c>
      <c r="G44" s="141">
        <f t="shared" si="4"/>
        <v>0.5</v>
      </c>
      <c r="H44" s="1429">
        <f t="shared" si="5"/>
        <v>0.5</v>
      </c>
      <c r="I44" s="417" t="s">
        <v>629</v>
      </c>
    </row>
    <row r="45" spans="1:9" ht="31" x14ac:dyDescent="0.35">
      <c r="A45" s="2289"/>
      <c r="B45" s="2290"/>
      <c r="C45" s="415" t="s">
        <v>632</v>
      </c>
      <c r="D45" s="416">
        <v>4</v>
      </c>
      <c r="E45" s="383">
        <v>40</v>
      </c>
      <c r="F45" s="371">
        <v>8</v>
      </c>
      <c r="G45" s="141">
        <f t="shared" si="4"/>
        <v>0.2</v>
      </c>
      <c r="H45" s="1429">
        <f t="shared" si="5"/>
        <v>0.2</v>
      </c>
      <c r="I45" s="418"/>
    </row>
    <row r="46" spans="1:9" ht="46.5" x14ac:dyDescent="0.35">
      <c r="A46" s="2289"/>
      <c r="B46" s="2290"/>
      <c r="C46" s="415" t="s">
        <v>633</v>
      </c>
      <c r="D46" s="419">
        <v>5</v>
      </c>
      <c r="E46" s="383">
        <v>40</v>
      </c>
      <c r="F46" s="371">
        <v>14</v>
      </c>
      <c r="G46" s="141">
        <f t="shared" si="4"/>
        <v>0.35</v>
      </c>
      <c r="H46" s="1429">
        <f t="shared" si="5"/>
        <v>0.35</v>
      </c>
      <c r="I46" s="417" t="s">
        <v>634</v>
      </c>
    </row>
    <row r="47" spans="1:9" ht="47" thickBot="1" x14ac:dyDescent="0.4">
      <c r="A47" s="2292"/>
      <c r="B47" s="2293"/>
      <c r="C47" s="420" t="s">
        <v>635</v>
      </c>
      <c r="D47" s="421">
        <v>6</v>
      </c>
      <c r="E47" s="422">
        <v>90</v>
      </c>
      <c r="F47" s="423">
        <v>0</v>
      </c>
      <c r="G47" s="424">
        <f t="shared" si="4"/>
        <v>0</v>
      </c>
      <c r="H47" s="1429">
        <f>G47</f>
        <v>0</v>
      </c>
      <c r="I47" s="425"/>
    </row>
    <row r="48" spans="1:9" ht="15" thickBot="1" x14ac:dyDescent="0.4">
      <c r="A48" s="426"/>
      <c r="B48" s="427"/>
      <c r="C48" s="428" t="s">
        <v>616</v>
      </c>
      <c r="D48" s="426" t="s">
        <v>636</v>
      </c>
      <c r="E48" s="429"/>
      <c r="F48" s="430"/>
      <c r="G48" s="431"/>
      <c r="H48" s="1432"/>
      <c r="I48" s="1435">
        <f>AVERAGE(H42:H47)</f>
        <v>0.42083333333333339</v>
      </c>
    </row>
    <row r="49" spans="1:9" ht="15" thickBot="1" x14ac:dyDescent="0.4">
      <c r="A49" s="426"/>
      <c r="B49" s="427"/>
      <c r="C49" s="428" t="s">
        <v>1087</v>
      </c>
      <c r="D49" s="426" t="s">
        <v>636</v>
      </c>
      <c r="E49" s="429"/>
      <c r="F49" s="430"/>
      <c r="G49" s="431"/>
      <c r="H49" s="1432">
        <f>AVERAGE(H8:H48)</f>
        <v>0.6378568099282278</v>
      </c>
      <c r="I49" s="1435"/>
    </row>
  </sheetData>
  <mergeCells count="24">
    <mergeCell ref="A42:A47"/>
    <mergeCell ref="B42:B47"/>
    <mergeCell ref="A35:I35"/>
    <mergeCell ref="A36:A38"/>
    <mergeCell ref="B36:B38"/>
    <mergeCell ref="A41:I41"/>
    <mergeCell ref="A25:A28"/>
    <mergeCell ref="B25:B28"/>
    <mergeCell ref="A29:A31"/>
    <mergeCell ref="B29:B31"/>
    <mergeCell ref="A32:A33"/>
    <mergeCell ref="B32:B33"/>
    <mergeCell ref="A15:A18"/>
    <mergeCell ref="B15:B18"/>
    <mergeCell ref="A19:A21"/>
    <mergeCell ref="B19:B21"/>
    <mergeCell ref="A22:A24"/>
    <mergeCell ref="B22:B24"/>
    <mergeCell ref="A1:I1"/>
    <mergeCell ref="A2:I2"/>
    <mergeCell ref="A4:I4"/>
    <mergeCell ref="A6:I6"/>
    <mergeCell ref="A8:A14"/>
    <mergeCell ref="B8:B14"/>
  </mergeCells>
  <printOptions horizontalCentered="1"/>
  <pageMargins left="0.51181102362204722" right="0.51181102362204722" top="0.35433070866141736" bottom="0.35433070866141736" header="0.31496062992125984" footer="0.31496062992125984"/>
  <pageSetup scale="77" orientation="landscape" r:id="rId1"/>
  <colBreaks count="1" manualBreakCount="1">
    <brk id="9"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E63C-71E6-4FDC-93E9-16BAE2E687B2}">
  <sheetPr>
    <tabColor theme="9"/>
  </sheetPr>
  <dimension ref="A1:K80"/>
  <sheetViews>
    <sheetView topLeftCell="A78" zoomScaleNormal="100" workbookViewId="0">
      <selection activeCell="A5" sqref="A5:I83"/>
    </sheetView>
  </sheetViews>
  <sheetFormatPr defaultRowHeight="14.5" x14ac:dyDescent="0.35"/>
  <cols>
    <col min="1" max="1" width="6.08984375" customWidth="1"/>
    <col min="2" max="2" width="23.54296875" style="1195" customWidth="1"/>
    <col min="3" max="3" width="39" customWidth="1"/>
    <col min="4" max="4" width="7.26953125" customWidth="1"/>
    <col min="5" max="5" width="7.81640625" customWidth="1"/>
    <col min="6" max="6" width="9.54296875" customWidth="1"/>
    <col min="7" max="8" width="10.7265625" customWidth="1"/>
    <col min="9" max="9" width="29.81640625" customWidth="1"/>
    <col min="10" max="10" width="13" style="308" customWidth="1"/>
  </cols>
  <sheetData>
    <row r="1" spans="1:10" ht="21" x14ac:dyDescent="0.5">
      <c r="A1" s="2124" t="s">
        <v>489</v>
      </c>
      <c r="B1" s="2124"/>
      <c r="C1" s="2124"/>
      <c r="D1" s="2124"/>
      <c r="E1" s="2124"/>
      <c r="F1" s="2124"/>
      <c r="G1" s="2124"/>
      <c r="H1" s="2124"/>
      <c r="I1" s="2124"/>
    </row>
    <row r="2" spans="1:10" ht="19" thickBot="1" x14ac:dyDescent="0.5">
      <c r="A2" s="2068" t="s">
        <v>1029</v>
      </c>
      <c r="B2" s="2068"/>
      <c r="C2" s="2068"/>
      <c r="D2" s="2068"/>
      <c r="E2" s="2068"/>
      <c r="F2" s="2068"/>
      <c r="G2" s="2068"/>
      <c r="H2" s="2068"/>
      <c r="I2" s="2068"/>
      <c r="J2" s="884"/>
    </row>
    <row r="3" spans="1:10" ht="16" thickBot="1" x14ac:dyDescent="0.4">
      <c r="A3" s="2335" t="s">
        <v>490</v>
      </c>
      <c r="B3" s="2336"/>
      <c r="C3" s="2336"/>
      <c r="D3" s="2336"/>
      <c r="E3" s="2336"/>
      <c r="F3" s="2336"/>
      <c r="G3" s="2336"/>
      <c r="H3" s="2336"/>
      <c r="I3" s="2337"/>
    </row>
    <row r="4" spans="1:10" ht="26.5" thickBot="1" x14ac:dyDescent="0.4">
      <c r="A4" s="342" t="s">
        <v>210</v>
      </c>
      <c r="B4" s="1883" t="s">
        <v>3</v>
      </c>
      <c r="C4" s="343" t="s">
        <v>4</v>
      </c>
      <c r="D4" s="344" t="s">
        <v>5</v>
      </c>
      <c r="E4" s="344" t="s">
        <v>6</v>
      </c>
      <c r="F4" s="344" t="s">
        <v>318</v>
      </c>
      <c r="G4" s="344" t="s">
        <v>8</v>
      </c>
      <c r="H4" s="1437" t="s">
        <v>1418</v>
      </c>
      <c r="I4" s="345" t="s">
        <v>492</v>
      </c>
    </row>
    <row r="5" spans="1:10" ht="44" customHeight="1" thickBot="1" x14ac:dyDescent="0.4">
      <c r="A5" s="2338" t="s">
        <v>491</v>
      </c>
      <c r="B5" s="2339"/>
      <c r="C5" s="2339"/>
      <c r="D5" s="2339"/>
      <c r="E5" s="2339"/>
      <c r="F5" s="2339"/>
      <c r="G5" s="2339"/>
      <c r="H5" s="2340"/>
      <c r="I5" s="2341"/>
    </row>
    <row r="6" spans="1:10" ht="26" x14ac:dyDescent="0.35">
      <c r="A6" s="2329">
        <v>1</v>
      </c>
      <c r="B6" s="2308" t="s">
        <v>493</v>
      </c>
      <c r="C6" s="1102" t="s">
        <v>494</v>
      </c>
      <c r="D6" s="1103">
        <v>1</v>
      </c>
      <c r="E6" s="1103">
        <v>2</v>
      </c>
      <c r="F6" s="1101">
        <v>4</v>
      </c>
      <c r="G6" s="1104">
        <f t="shared" ref="G6:G20" si="0">F6/E6</f>
        <v>2</v>
      </c>
      <c r="H6" s="1104">
        <v>1.01</v>
      </c>
      <c r="I6" s="1105" t="s">
        <v>1532</v>
      </c>
      <c r="J6" s="1815"/>
    </row>
    <row r="7" spans="1:10" ht="58" x14ac:dyDescent="0.35">
      <c r="A7" s="2334"/>
      <c r="B7" s="2309"/>
      <c r="C7" s="1817" t="s">
        <v>495</v>
      </c>
      <c r="D7" s="1818">
        <v>2</v>
      </c>
      <c r="E7" s="1818">
        <v>13</v>
      </c>
      <c r="F7" s="1816">
        <v>13</v>
      </c>
      <c r="G7" s="1819">
        <f t="shared" si="0"/>
        <v>1</v>
      </c>
      <c r="H7" s="1104">
        <f t="shared" ref="H7:H22" si="1">G7</f>
        <v>1</v>
      </c>
      <c r="I7" s="1820" t="s">
        <v>1176</v>
      </c>
      <c r="J7" s="362" t="s">
        <v>496</v>
      </c>
    </row>
    <row r="8" spans="1:10" ht="26" x14ac:dyDescent="0.35">
      <c r="A8" s="2334"/>
      <c r="B8" s="2309"/>
      <c r="C8" s="1817" t="s">
        <v>497</v>
      </c>
      <c r="D8" s="1818">
        <v>3</v>
      </c>
      <c r="E8" s="1818">
        <v>10</v>
      </c>
      <c r="F8" s="1816">
        <v>6</v>
      </c>
      <c r="G8" s="1819">
        <f t="shared" si="0"/>
        <v>0.6</v>
      </c>
      <c r="H8" s="1104">
        <f t="shared" si="1"/>
        <v>0.6</v>
      </c>
      <c r="I8" s="1820" t="s">
        <v>1177</v>
      </c>
    </row>
    <row r="9" spans="1:10" ht="26" x14ac:dyDescent="0.35">
      <c r="A9" s="2334"/>
      <c r="B9" s="2309"/>
      <c r="C9" s="1817" t="s">
        <v>498</v>
      </c>
      <c r="D9" s="1818">
        <v>4</v>
      </c>
      <c r="E9" s="1818">
        <v>4</v>
      </c>
      <c r="F9" s="1816">
        <v>3</v>
      </c>
      <c r="G9" s="1819">
        <f t="shared" si="0"/>
        <v>0.75</v>
      </c>
      <c r="H9" s="1104">
        <f t="shared" si="1"/>
        <v>0.75</v>
      </c>
      <c r="I9" s="1820" t="s">
        <v>1533</v>
      </c>
    </row>
    <row r="10" spans="1:10" ht="39" x14ac:dyDescent="0.35">
      <c r="A10" s="2334"/>
      <c r="B10" s="2309"/>
      <c r="C10" s="1817" t="s">
        <v>1470</v>
      </c>
      <c r="D10" s="1818">
        <v>5</v>
      </c>
      <c r="E10" s="1821">
        <v>0.8</v>
      </c>
      <c r="F10" s="1819">
        <v>0.65</v>
      </c>
      <c r="G10" s="1822">
        <f t="shared" si="0"/>
        <v>0.8125</v>
      </c>
      <c r="H10" s="1104">
        <f t="shared" si="1"/>
        <v>0.8125</v>
      </c>
      <c r="I10" s="1820" t="s">
        <v>1178</v>
      </c>
    </row>
    <row r="11" spans="1:10" ht="26" x14ac:dyDescent="0.35">
      <c r="A11" s="2334"/>
      <c r="B11" s="2309"/>
      <c r="C11" s="1817" t="s">
        <v>1469</v>
      </c>
      <c r="D11" s="1818">
        <v>6</v>
      </c>
      <c r="E11" s="1821">
        <v>0.8</v>
      </c>
      <c r="F11" s="1819">
        <v>0.8</v>
      </c>
      <c r="G11" s="1822">
        <f t="shared" si="0"/>
        <v>1</v>
      </c>
      <c r="H11" s="1104">
        <f t="shared" si="1"/>
        <v>1</v>
      </c>
      <c r="I11" s="1820" t="s">
        <v>1179</v>
      </c>
    </row>
    <row r="12" spans="1:10" ht="29" x14ac:dyDescent="0.35">
      <c r="A12" s="2334"/>
      <c r="B12" s="2309"/>
      <c r="C12" s="1817" t="s">
        <v>1181</v>
      </c>
      <c r="D12" s="1818">
        <v>7</v>
      </c>
      <c r="E12" s="1818">
        <v>30</v>
      </c>
      <c r="F12" s="1816">
        <v>25</v>
      </c>
      <c r="G12" s="1822">
        <f t="shared" si="0"/>
        <v>0.83333333333333337</v>
      </c>
      <c r="H12" s="1104">
        <f t="shared" si="1"/>
        <v>0.83333333333333337</v>
      </c>
      <c r="I12" s="1820" t="s">
        <v>1180</v>
      </c>
      <c r="J12" s="362" t="s">
        <v>499</v>
      </c>
    </row>
    <row r="13" spans="1:10" ht="26" x14ac:dyDescent="0.35">
      <c r="A13" s="2334"/>
      <c r="B13" s="2309"/>
      <c r="C13" s="1817" t="s">
        <v>1468</v>
      </c>
      <c r="D13" s="1818">
        <v>8</v>
      </c>
      <c r="E13" s="1818">
        <v>0</v>
      </c>
      <c r="F13" s="1816">
        <v>0</v>
      </c>
      <c r="G13" s="1822" t="s">
        <v>1420</v>
      </c>
      <c r="H13" s="1104" t="s">
        <v>1420</v>
      </c>
      <c r="I13" s="1820"/>
    </row>
    <row r="14" spans="1:10" ht="26" x14ac:dyDescent="0.35">
      <c r="A14" s="2334"/>
      <c r="B14" s="2309"/>
      <c r="C14" s="1817" t="s">
        <v>1182</v>
      </c>
      <c r="D14" s="1818">
        <v>9</v>
      </c>
      <c r="E14" s="1818">
        <v>0</v>
      </c>
      <c r="F14" s="1816">
        <v>0</v>
      </c>
      <c r="G14" s="1822" t="s">
        <v>1420</v>
      </c>
      <c r="H14" s="1104" t="str">
        <f t="shared" si="1"/>
        <v>NA</v>
      </c>
      <c r="I14" s="1820"/>
    </row>
    <row r="15" spans="1:10" ht="26" x14ac:dyDescent="0.35">
      <c r="A15" s="2334"/>
      <c r="B15" s="2309"/>
      <c r="C15" s="1817" t="s">
        <v>500</v>
      </c>
      <c r="D15" s="1818">
        <v>10</v>
      </c>
      <c r="E15" s="1821">
        <v>0.6</v>
      </c>
      <c r="F15" s="1819">
        <v>0.4</v>
      </c>
      <c r="G15" s="1822">
        <f t="shared" si="0"/>
        <v>0.66666666666666674</v>
      </c>
      <c r="H15" s="1104">
        <f t="shared" si="1"/>
        <v>0.66666666666666674</v>
      </c>
      <c r="I15" s="1820" t="s">
        <v>501</v>
      </c>
    </row>
    <row r="16" spans="1:10" ht="52" x14ac:dyDescent="0.35">
      <c r="A16" s="2334"/>
      <c r="B16" s="2309"/>
      <c r="C16" s="1817" t="s">
        <v>502</v>
      </c>
      <c r="D16" s="1818">
        <v>11</v>
      </c>
      <c r="E16" s="1818">
        <v>1</v>
      </c>
      <c r="F16" s="1816">
        <v>0</v>
      </c>
      <c r="G16" s="1822">
        <f t="shared" si="0"/>
        <v>0</v>
      </c>
      <c r="H16" s="1104">
        <f t="shared" si="1"/>
        <v>0</v>
      </c>
      <c r="I16" s="1820" t="s">
        <v>1183</v>
      </c>
    </row>
    <row r="17" spans="1:10" ht="26" x14ac:dyDescent="0.35">
      <c r="A17" s="2334"/>
      <c r="B17" s="2309"/>
      <c r="C17" s="1817" t="s">
        <v>503</v>
      </c>
      <c r="D17" s="1818">
        <v>12</v>
      </c>
      <c r="E17" s="1818">
        <v>2</v>
      </c>
      <c r="F17" s="1816">
        <v>0</v>
      </c>
      <c r="G17" s="1822" t="s">
        <v>1420</v>
      </c>
      <c r="H17" s="1104" t="s">
        <v>1420</v>
      </c>
      <c r="I17" s="1820" t="s">
        <v>1184</v>
      </c>
    </row>
    <row r="18" spans="1:10" ht="26" x14ac:dyDescent="0.35">
      <c r="A18" s="2334"/>
      <c r="B18" s="2309"/>
      <c r="C18" s="1817" t="s">
        <v>504</v>
      </c>
      <c r="D18" s="1818">
        <v>13</v>
      </c>
      <c r="E18" s="1818">
        <v>40</v>
      </c>
      <c r="F18" s="1816">
        <v>37</v>
      </c>
      <c r="G18" s="1822">
        <f t="shared" si="0"/>
        <v>0.92500000000000004</v>
      </c>
      <c r="H18" s="1104">
        <f t="shared" si="1"/>
        <v>0.92500000000000004</v>
      </c>
      <c r="I18" s="1820" t="s">
        <v>505</v>
      </c>
    </row>
    <row r="19" spans="1:10" ht="26" x14ac:dyDescent="0.35">
      <c r="A19" s="2334"/>
      <c r="B19" s="2309"/>
      <c r="C19" s="1817" t="s">
        <v>506</v>
      </c>
      <c r="D19" s="1818">
        <v>14</v>
      </c>
      <c r="E19" s="1818">
        <v>40</v>
      </c>
      <c r="F19" s="1816">
        <v>7</v>
      </c>
      <c r="G19" s="1822">
        <f t="shared" si="0"/>
        <v>0.17499999999999999</v>
      </c>
      <c r="H19" s="1104">
        <f t="shared" si="1"/>
        <v>0.17499999999999999</v>
      </c>
      <c r="I19" s="1820" t="s">
        <v>1185</v>
      </c>
    </row>
    <row r="20" spans="1:10" ht="26" x14ac:dyDescent="0.35">
      <c r="A20" s="2334"/>
      <c r="B20" s="2309"/>
      <c r="C20" s="1817" t="s">
        <v>507</v>
      </c>
      <c r="D20" s="1818">
        <v>15</v>
      </c>
      <c r="E20" s="1821">
        <v>0.26</v>
      </c>
      <c r="F20" s="1819">
        <v>0.17</v>
      </c>
      <c r="G20" s="1822">
        <f t="shared" si="0"/>
        <v>0.65384615384615385</v>
      </c>
      <c r="H20" s="1104">
        <f t="shared" si="1"/>
        <v>0.65384615384615385</v>
      </c>
      <c r="I20" s="1820" t="s">
        <v>65</v>
      </c>
    </row>
    <row r="21" spans="1:10" ht="26" x14ac:dyDescent="0.35">
      <c r="A21" s="2334"/>
      <c r="B21" s="2309"/>
      <c r="C21" s="1817" t="s">
        <v>508</v>
      </c>
      <c r="D21" s="1818">
        <v>16</v>
      </c>
      <c r="E21" s="1821">
        <v>0.2</v>
      </c>
      <c r="F21" s="1819">
        <v>0</v>
      </c>
      <c r="G21" s="1822" t="s">
        <v>1420</v>
      </c>
      <c r="H21" s="1104" t="s">
        <v>1420</v>
      </c>
      <c r="I21" s="1820" t="s">
        <v>660</v>
      </c>
    </row>
    <row r="22" spans="1:10" ht="65.5" thickBot="1" x14ac:dyDescent="0.4">
      <c r="A22" s="2327"/>
      <c r="B22" s="2315"/>
      <c r="C22" s="1823" t="s">
        <v>1186</v>
      </c>
      <c r="D22" s="1824">
        <v>17</v>
      </c>
      <c r="E22" s="1824">
        <v>14</v>
      </c>
      <c r="F22" s="1824">
        <v>4</v>
      </c>
      <c r="G22" s="1825">
        <f>F22/E22</f>
        <v>0.2857142857142857</v>
      </c>
      <c r="H22" s="1104">
        <f t="shared" si="1"/>
        <v>0.2857142857142857</v>
      </c>
      <c r="I22" s="1826" t="s">
        <v>509</v>
      </c>
      <c r="J22" s="362" t="s">
        <v>510</v>
      </c>
    </row>
    <row r="23" spans="1:10" ht="15" thickBot="1" x14ac:dyDescent="0.4">
      <c r="A23" s="346"/>
      <c r="B23" s="1884"/>
      <c r="C23" s="348" t="s">
        <v>366</v>
      </c>
      <c r="D23" s="347"/>
      <c r="E23" s="347"/>
      <c r="F23" s="349"/>
      <c r="G23" s="350"/>
      <c r="H23" s="1438"/>
      <c r="I23" s="1443">
        <f>AVERAGE(H6:H22)</f>
        <v>0.67015849535080296</v>
      </c>
    </row>
    <row r="24" spans="1:10" ht="15" thickBot="1" x14ac:dyDescent="0.4">
      <c r="A24" s="351"/>
      <c r="B24" s="1885"/>
      <c r="C24" s="352"/>
      <c r="D24" s="351"/>
      <c r="E24" s="351"/>
      <c r="F24" s="351"/>
      <c r="G24" s="1827"/>
      <c r="H24" s="1439"/>
      <c r="I24" s="1828"/>
      <c r="J24" s="42"/>
    </row>
    <row r="25" spans="1:10" ht="15" thickBot="1" x14ac:dyDescent="0.4">
      <c r="A25" s="2330" t="s">
        <v>511</v>
      </c>
      <c r="B25" s="2331"/>
      <c r="C25" s="2331"/>
      <c r="D25" s="2331"/>
      <c r="E25" s="2331"/>
      <c r="F25" s="2331"/>
      <c r="G25" s="2331"/>
      <c r="H25" s="2332"/>
      <c r="I25" s="2333"/>
    </row>
    <row r="26" spans="1:10" ht="26" x14ac:dyDescent="0.35">
      <c r="A26" s="2334">
        <v>2</v>
      </c>
      <c r="B26" s="2309" t="s">
        <v>512</v>
      </c>
      <c r="C26" s="1817" t="s">
        <v>513</v>
      </c>
      <c r="D26" s="1818">
        <v>18</v>
      </c>
      <c r="E26" s="1829">
        <v>6</v>
      </c>
      <c r="F26" s="1816">
        <v>0</v>
      </c>
      <c r="G26" s="1819" t="s">
        <v>1420</v>
      </c>
      <c r="H26" s="1819" t="s">
        <v>1420</v>
      </c>
      <c r="I26" s="1820" t="s">
        <v>660</v>
      </c>
    </row>
    <row r="27" spans="1:10" ht="26" x14ac:dyDescent="0.35">
      <c r="A27" s="2334"/>
      <c r="B27" s="2309"/>
      <c r="C27" s="1820" t="s">
        <v>514</v>
      </c>
      <c r="D27" s="1818">
        <v>19</v>
      </c>
      <c r="E27" s="1821">
        <v>0.15</v>
      </c>
      <c r="F27" s="1819">
        <v>0.12</v>
      </c>
      <c r="G27" s="1819">
        <f>F27/E27</f>
        <v>0.8</v>
      </c>
      <c r="H27" s="1819">
        <f t="shared" ref="H27:H30" si="2">G27</f>
        <v>0.8</v>
      </c>
      <c r="I27" s="1820"/>
    </row>
    <row r="28" spans="1:10" ht="65" x14ac:dyDescent="0.35">
      <c r="A28" s="2334"/>
      <c r="B28" s="2309"/>
      <c r="C28" s="1820" t="s">
        <v>515</v>
      </c>
      <c r="D28" s="1818">
        <v>20</v>
      </c>
      <c r="E28" s="1821">
        <v>0.1</v>
      </c>
      <c r="F28" s="1819">
        <v>0.09</v>
      </c>
      <c r="G28" s="1819">
        <f>F28/E28</f>
        <v>0.89999999999999991</v>
      </c>
      <c r="H28" s="1819">
        <f t="shared" si="2"/>
        <v>0.89999999999999991</v>
      </c>
      <c r="I28" s="1820" t="s">
        <v>1187</v>
      </c>
    </row>
    <row r="29" spans="1:10" ht="26" x14ac:dyDescent="0.35">
      <c r="A29" s="2334"/>
      <c r="B29" s="2309"/>
      <c r="C29" s="1820" t="s">
        <v>516</v>
      </c>
      <c r="D29" s="1818">
        <v>21</v>
      </c>
      <c r="E29" s="1818">
        <v>15</v>
      </c>
      <c r="F29" s="1818">
        <v>10</v>
      </c>
      <c r="G29" s="1819">
        <f>F29/E29</f>
        <v>0.66666666666666663</v>
      </c>
      <c r="H29" s="1819">
        <f t="shared" si="2"/>
        <v>0.66666666666666663</v>
      </c>
      <c r="I29" s="1820"/>
    </row>
    <row r="30" spans="1:10" ht="26.5" thickBot="1" x14ac:dyDescent="0.4">
      <c r="A30" s="2327"/>
      <c r="B30" s="2315"/>
      <c r="C30" s="1826" t="s">
        <v>517</v>
      </c>
      <c r="D30" s="1830">
        <v>22</v>
      </c>
      <c r="E30" s="1831">
        <v>0.1</v>
      </c>
      <c r="F30" s="1832">
        <v>0.06</v>
      </c>
      <c r="G30" s="1832">
        <f>F30/E30</f>
        <v>0.6</v>
      </c>
      <c r="H30" s="1819">
        <f t="shared" si="2"/>
        <v>0.6</v>
      </c>
      <c r="I30" s="1833"/>
    </row>
    <row r="31" spans="1:10" ht="15" thickBot="1" x14ac:dyDescent="0.4">
      <c r="A31" s="2317"/>
      <c r="B31" s="2318"/>
      <c r="C31" s="2318"/>
      <c r="D31" s="2318"/>
      <c r="E31" s="2318"/>
      <c r="F31" s="2319"/>
      <c r="G31" s="353"/>
      <c r="H31" s="1440"/>
      <c r="I31" s="1443">
        <f>AVERAGE(H26:H30)</f>
        <v>0.7416666666666667</v>
      </c>
    </row>
    <row r="32" spans="1:10" ht="15" thickBot="1" x14ac:dyDescent="0.4">
      <c r="A32" s="352"/>
      <c r="B32" s="360"/>
      <c r="C32" s="352"/>
      <c r="D32" s="352"/>
      <c r="E32" s="352"/>
      <c r="F32" s="1834"/>
      <c r="G32" s="1835"/>
      <c r="H32" s="1836"/>
      <c r="I32" s="1828"/>
      <c r="J32" s="42"/>
    </row>
    <row r="33" spans="1:9" ht="41" customHeight="1" thickBot="1" x14ac:dyDescent="0.4">
      <c r="A33" s="2330" t="s">
        <v>518</v>
      </c>
      <c r="B33" s="2331"/>
      <c r="C33" s="2331"/>
      <c r="D33" s="2331"/>
      <c r="E33" s="2331"/>
      <c r="F33" s="2331"/>
      <c r="G33" s="2331"/>
      <c r="H33" s="2332"/>
      <c r="I33" s="2333"/>
    </row>
    <row r="34" spans="1:9" x14ac:dyDescent="0.35">
      <c r="A34" s="2326">
        <v>3</v>
      </c>
      <c r="B34" s="2309" t="s">
        <v>519</v>
      </c>
      <c r="C34" s="1817" t="s">
        <v>520</v>
      </c>
      <c r="D34" s="1818">
        <v>23</v>
      </c>
      <c r="E34" s="1821">
        <v>0.78</v>
      </c>
      <c r="F34" s="1819">
        <v>1.1000000000000001</v>
      </c>
      <c r="G34" s="1819">
        <f t="shared" ref="G34:G50" si="3">F34/E34</f>
        <v>1.4102564102564104</v>
      </c>
      <c r="H34" s="1819">
        <v>1.01</v>
      </c>
      <c r="I34" s="1820" t="s">
        <v>1170</v>
      </c>
    </row>
    <row r="35" spans="1:9" x14ac:dyDescent="0.35">
      <c r="A35" s="2326"/>
      <c r="B35" s="2309"/>
      <c r="C35" s="1817" t="s">
        <v>521</v>
      </c>
      <c r="D35" s="1818">
        <v>24</v>
      </c>
      <c r="E35" s="1821">
        <v>0.28000000000000003</v>
      </c>
      <c r="F35" s="1819">
        <v>0.95899999999999996</v>
      </c>
      <c r="G35" s="1819">
        <f t="shared" si="3"/>
        <v>3.4249999999999994</v>
      </c>
      <c r="H35" s="1819">
        <v>1.01</v>
      </c>
      <c r="I35" s="1820" t="s">
        <v>1170</v>
      </c>
    </row>
    <row r="36" spans="1:9" ht="52" x14ac:dyDescent="0.35">
      <c r="A36" s="2326"/>
      <c r="B36" s="2309"/>
      <c r="C36" s="1820" t="s">
        <v>522</v>
      </c>
      <c r="D36" s="1818">
        <v>25</v>
      </c>
      <c r="E36" s="1821">
        <v>0.5</v>
      </c>
      <c r="F36" s="1819">
        <v>0.68</v>
      </c>
      <c r="G36" s="1819">
        <f t="shared" si="3"/>
        <v>1.36</v>
      </c>
      <c r="H36" s="1819">
        <v>1.01</v>
      </c>
      <c r="I36" s="1820" t="s">
        <v>1170</v>
      </c>
    </row>
    <row r="37" spans="1:9" ht="39" x14ac:dyDescent="0.35">
      <c r="A37" s="2326"/>
      <c r="B37" s="2309"/>
      <c r="C37" s="1817" t="s">
        <v>523</v>
      </c>
      <c r="D37" s="1818">
        <v>26</v>
      </c>
      <c r="E37" s="1821">
        <v>0.05</v>
      </c>
      <c r="F37" s="1819"/>
      <c r="G37" s="1819" t="s">
        <v>1420</v>
      </c>
      <c r="H37" s="1819" t="s">
        <v>1420</v>
      </c>
      <c r="I37" s="1820" t="s">
        <v>1171</v>
      </c>
    </row>
    <row r="38" spans="1:9" x14ac:dyDescent="0.35">
      <c r="A38" s="2326"/>
      <c r="B38" s="2309"/>
      <c r="C38" s="1817" t="s">
        <v>524</v>
      </c>
      <c r="D38" s="1818">
        <v>27</v>
      </c>
      <c r="E38" s="1821">
        <v>0.45</v>
      </c>
      <c r="F38" s="1819">
        <v>0.85</v>
      </c>
      <c r="G38" s="1819">
        <f t="shared" si="3"/>
        <v>1.8888888888888888</v>
      </c>
      <c r="H38" s="1819">
        <v>1.01</v>
      </c>
      <c r="I38" s="1820" t="s">
        <v>1170</v>
      </c>
    </row>
    <row r="39" spans="1:9" ht="26" x14ac:dyDescent="0.35">
      <c r="A39" s="2326"/>
      <c r="B39" s="2309"/>
      <c r="C39" s="1817" t="s">
        <v>525</v>
      </c>
      <c r="D39" s="1818">
        <v>28</v>
      </c>
      <c r="E39" s="1818">
        <v>404</v>
      </c>
      <c r="F39" s="1816">
        <v>300</v>
      </c>
      <c r="G39" s="1819">
        <f t="shared" si="3"/>
        <v>0.74257425742574257</v>
      </c>
      <c r="H39" s="1819">
        <f t="shared" ref="H39:H50" si="4">G39</f>
        <v>0.74257425742574257</v>
      </c>
      <c r="I39" s="1820" t="s">
        <v>1172</v>
      </c>
    </row>
    <row r="40" spans="1:9" ht="39" x14ac:dyDescent="0.35">
      <c r="A40" s="2326"/>
      <c r="B40" s="2309"/>
      <c r="C40" s="1817" t="s">
        <v>526</v>
      </c>
      <c r="D40" s="1818">
        <v>29</v>
      </c>
      <c r="E40" s="1821">
        <v>1</v>
      </c>
      <c r="F40" s="1819">
        <v>0.62</v>
      </c>
      <c r="G40" s="1819">
        <f t="shared" si="3"/>
        <v>0.62</v>
      </c>
      <c r="H40" s="1819">
        <f t="shared" si="4"/>
        <v>0.62</v>
      </c>
      <c r="I40" s="1820"/>
    </row>
    <row r="41" spans="1:9" x14ac:dyDescent="0.35">
      <c r="A41" s="2326"/>
      <c r="B41" s="2309"/>
      <c r="C41" s="1817" t="s">
        <v>527</v>
      </c>
      <c r="D41" s="1818">
        <v>30</v>
      </c>
      <c r="E41" s="1821">
        <v>0.79</v>
      </c>
      <c r="F41" s="1819">
        <v>0.95</v>
      </c>
      <c r="G41" s="1819">
        <f t="shared" si="3"/>
        <v>1.2025316455696202</v>
      </c>
      <c r="H41" s="1819">
        <v>1.01</v>
      </c>
      <c r="I41" s="1820" t="s">
        <v>1170</v>
      </c>
    </row>
    <row r="42" spans="1:9" x14ac:dyDescent="0.35">
      <c r="A42" s="2326"/>
      <c r="B42" s="2309"/>
      <c r="C42" s="1817" t="s">
        <v>528</v>
      </c>
      <c r="D42" s="1818">
        <v>31</v>
      </c>
      <c r="E42" s="1821">
        <v>0.7</v>
      </c>
      <c r="F42" s="1819"/>
      <c r="G42" s="1819" t="s">
        <v>1420</v>
      </c>
      <c r="H42" s="1819" t="s">
        <v>1420</v>
      </c>
      <c r="I42" s="1820" t="s">
        <v>1173</v>
      </c>
    </row>
    <row r="43" spans="1:9" ht="26" x14ac:dyDescent="0.35">
      <c r="A43" s="2326"/>
      <c r="B43" s="2309"/>
      <c r="C43" s="1817" t="s">
        <v>529</v>
      </c>
      <c r="D43" s="1818">
        <v>32</v>
      </c>
      <c r="E43" s="1821">
        <v>0.38</v>
      </c>
      <c r="F43" s="1819">
        <v>0.25</v>
      </c>
      <c r="G43" s="1819">
        <f t="shared" si="3"/>
        <v>0.65789473684210531</v>
      </c>
      <c r="H43" s="1819">
        <f t="shared" si="4"/>
        <v>0.65789473684210531</v>
      </c>
      <c r="I43" s="1820" t="s">
        <v>1174</v>
      </c>
    </row>
    <row r="44" spans="1:9" ht="26" x14ac:dyDescent="0.35">
      <c r="A44" s="2326"/>
      <c r="B44" s="2309"/>
      <c r="C44" s="1817" t="s">
        <v>530</v>
      </c>
      <c r="D44" s="1818">
        <v>33</v>
      </c>
      <c r="E44" s="1821">
        <v>0.37</v>
      </c>
      <c r="F44" s="1819">
        <v>0.3</v>
      </c>
      <c r="G44" s="1819">
        <f t="shared" si="3"/>
        <v>0.81081081081081074</v>
      </c>
      <c r="H44" s="1819">
        <f t="shared" si="4"/>
        <v>0.81081081081081074</v>
      </c>
      <c r="I44" s="1820" t="s">
        <v>1175</v>
      </c>
    </row>
    <row r="45" spans="1:9" ht="26" x14ac:dyDescent="0.35">
      <c r="A45" s="2326"/>
      <c r="B45" s="2309"/>
      <c r="C45" s="1817" t="s">
        <v>531</v>
      </c>
      <c r="D45" s="1816">
        <v>34</v>
      </c>
      <c r="E45" s="1819">
        <v>1</v>
      </c>
      <c r="F45" s="1819">
        <v>0.5</v>
      </c>
      <c r="G45" s="1819">
        <f t="shared" si="3"/>
        <v>0.5</v>
      </c>
      <c r="H45" s="1819">
        <f t="shared" si="4"/>
        <v>0.5</v>
      </c>
      <c r="I45" s="1820"/>
    </row>
    <row r="46" spans="1:9" ht="26" x14ac:dyDescent="0.35">
      <c r="A46" s="2327">
        <v>4</v>
      </c>
      <c r="B46" s="2309" t="s">
        <v>532</v>
      </c>
      <c r="C46" s="1817" t="s">
        <v>533</v>
      </c>
      <c r="D46" s="1818">
        <v>35</v>
      </c>
      <c r="E46" s="1818">
        <v>50</v>
      </c>
      <c r="F46" s="1816">
        <v>20</v>
      </c>
      <c r="G46" s="1819">
        <f t="shared" si="3"/>
        <v>0.4</v>
      </c>
      <c r="H46" s="1819">
        <f t="shared" si="4"/>
        <v>0.4</v>
      </c>
      <c r="I46" s="1820"/>
    </row>
    <row r="47" spans="1:9" x14ac:dyDescent="0.35">
      <c r="A47" s="2328"/>
      <c r="B47" s="2309"/>
      <c r="C47" s="1817" t="s">
        <v>534</v>
      </c>
      <c r="D47" s="1818">
        <v>36</v>
      </c>
      <c r="E47" s="1818">
        <v>20</v>
      </c>
      <c r="F47" s="1816">
        <v>20</v>
      </c>
      <c r="G47" s="1819">
        <f t="shared" si="3"/>
        <v>1</v>
      </c>
      <c r="H47" s="1819">
        <f t="shared" si="4"/>
        <v>1</v>
      </c>
      <c r="I47" s="1820"/>
    </row>
    <row r="48" spans="1:9" ht="26" x14ac:dyDescent="0.35">
      <c r="A48" s="2329"/>
      <c r="B48" s="2309"/>
      <c r="C48" s="1817" t="s">
        <v>535</v>
      </c>
      <c r="D48" s="1818">
        <v>37</v>
      </c>
      <c r="E48" s="1818">
        <v>50</v>
      </c>
      <c r="F48" s="1816">
        <v>35</v>
      </c>
      <c r="G48" s="1819">
        <f t="shared" si="3"/>
        <v>0.7</v>
      </c>
      <c r="H48" s="1819">
        <f t="shared" si="4"/>
        <v>0.7</v>
      </c>
      <c r="I48" s="1820"/>
    </row>
    <row r="49" spans="1:10" ht="39" x14ac:dyDescent="0.35">
      <c r="A49" s="2326">
        <v>5</v>
      </c>
      <c r="B49" s="2309" t="s">
        <v>536</v>
      </c>
      <c r="C49" s="1817" t="s">
        <v>537</v>
      </c>
      <c r="D49" s="1818">
        <v>38</v>
      </c>
      <c r="E49" s="1821">
        <v>0.08</v>
      </c>
      <c r="F49" s="1819">
        <v>0.04</v>
      </c>
      <c r="G49" s="1819">
        <f t="shared" si="3"/>
        <v>0.5</v>
      </c>
      <c r="H49" s="1819">
        <f t="shared" si="4"/>
        <v>0.5</v>
      </c>
      <c r="I49" s="1820"/>
    </row>
    <row r="50" spans="1:10" ht="39.5" thickBot="1" x14ac:dyDescent="0.4">
      <c r="A50" s="2314"/>
      <c r="B50" s="2315"/>
      <c r="C50" s="1840" t="s">
        <v>537</v>
      </c>
      <c r="D50" s="1830">
        <v>39</v>
      </c>
      <c r="E50" s="1830">
        <v>30</v>
      </c>
      <c r="F50" s="1841">
        <v>22</v>
      </c>
      <c r="G50" s="1832">
        <f t="shared" si="3"/>
        <v>0.73333333333333328</v>
      </c>
      <c r="H50" s="1819">
        <f t="shared" si="4"/>
        <v>0.73333333333333328</v>
      </c>
      <c r="I50" s="1833" t="s">
        <v>538</v>
      </c>
    </row>
    <row r="51" spans="1:10" ht="15" thickBot="1" x14ac:dyDescent="0.4">
      <c r="A51" s="2317" t="s">
        <v>366</v>
      </c>
      <c r="B51" s="2318"/>
      <c r="C51" s="2318"/>
      <c r="D51" s="2318"/>
      <c r="E51" s="2318"/>
      <c r="F51" s="2319"/>
      <c r="G51" s="353" t="s">
        <v>636</v>
      </c>
      <c r="H51" s="1440"/>
      <c r="I51" s="1443">
        <f>AVERAGE(H34:H50)</f>
        <v>0.78097420922746608</v>
      </c>
    </row>
    <row r="52" spans="1:10" ht="15" thickBot="1" x14ac:dyDescent="0.4">
      <c r="A52" s="354"/>
      <c r="B52" s="1886"/>
      <c r="C52" s="354"/>
      <c r="D52" s="354"/>
      <c r="E52" s="354"/>
      <c r="F52" s="354"/>
      <c r="G52" s="355"/>
      <c r="H52" s="355"/>
      <c r="I52" s="356"/>
      <c r="J52" s="42"/>
    </row>
    <row r="53" spans="1:10" ht="38.5" customHeight="1" x14ac:dyDescent="0.35">
      <c r="A53" s="2320" t="s">
        <v>539</v>
      </c>
      <c r="B53" s="2321"/>
      <c r="C53" s="2321"/>
      <c r="D53" s="2321"/>
      <c r="E53" s="2321"/>
      <c r="F53" s="2321"/>
      <c r="G53" s="2321"/>
      <c r="H53" s="2321"/>
      <c r="I53" s="2322"/>
    </row>
    <row r="54" spans="1:10" x14ac:dyDescent="0.35">
      <c r="A54" s="2306">
        <v>6</v>
      </c>
      <c r="B54" s="2316" t="s">
        <v>540</v>
      </c>
      <c r="C54" s="1106" t="s">
        <v>1471</v>
      </c>
      <c r="D54" s="1107">
        <v>40</v>
      </c>
      <c r="E54" s="1107">
        <v>2</v>
      </c>
      <c r="F54" s="1108">
        <v>1</v>
      </c>
      <c r="G54" s="1109">
        <f t="shared" ref="G54:G60" si="5">F54/E54</f>
        <v>0.5</v>
      </c>
      <c r="H54" s="1109">
        <f>G54</f>
        <v>0.5</v>
      </c>
      <c r="I54" s="1110"/>
    </row>
    <row r="55" spans="1:10" x14ac:dyDescent="0.35">
      <c r="A55" s="2306"/>
      <c r="B55" s="2316"/>
      <c r="C55" s="1842" t="s">
        <v>541</v>
      </c>
      <c r="D55" s="1837">
        <v>41</v>
      </c>
      <c r="E55" s="1837">
        <v>14</v>
      </c>
      <c r="F55" s="1837">
        <v>1.5</v>
      </c>
      <c r="G55" s="1843">
        <f t="shared" si="5"/>
        <v>0.10714285714285714</v>
      </c>
      <c r="H55" s="1109">
        <f t="shared" ref="H55:H60" si="6">G55</f>
        <v>0.10714285714285714</v>
      </c>
      <c r="I55" s="1842"/>
    </row>
    <row r="56" spans="1:10" x14ac:dyDescent="0.35">
      <c r="A56" s="2306"/>
      <c r="B56" s="2316"/>
      <c r="C56" s="1838" t="s">
        <v>542</v>
      </c>
      <c r="D56" s="1844">
        <v>42</v>
      </c>
      <c r="E56" s="1844">
        <v>100</v>
      </c>
      <c r="F56" s="1837">
        <v>40</v>
      </c>
      <c r="G56" s="1843">
        <f t="shared" si="5"/>
        <v>0.4</v>
      </c>
      <c r="H56" s="1109">
        <f t="shared" si="6"/>
        <v>0.4</v>
      </c>
      <c r="I56" s="1842"/>
    </row>
    <row r="57" spans="1:10" ht="52" x14ac:dyDescent="0.35">
      <c r="A57" s="2306"/>
      <c r="B57" s="2316"/>
      <c r="C57" s="1838" t="s">
        <v>543</v>
      </c>
      <c r="D57" s="1844">
        <v>43</v>
      </c>
      <c r="E57" s="1837">
        <v>0.9</v>
      </c>
      <c r="F57" s="1837">
        <v>0.7</v>
      </c>
      <c r="G57" s="1843">
        <f t="shared" si="5"/>
        <v>0.77777777777777768</v>
      </c>
      <c r="H57" s="1109">
        <f t="shared" si="6"/>
        <v>0.77777777777777768</v>
      </c>
      <c r="I57" s="1842"/>
    </row>
    <row r="58" spans="1:10" ht="78" x14ac:dyDescent="0.35">
      <c r="A58" s="2306"/>
      <c r="B58" s="2316"/>
      <c r="C58" s="1838" t="s">
        <v>544</v>
      </c>
      <c r="D58" s="1844">
        <v>44</v>
      </c>
      <c r="E58" s="1837">
        <v>0.9</v>
      </c>
      <c r="F58" s="1837">
        <v>0.7</v>
      </c>
      <c r="G58" s="1843">
        <f t="shared" si="5"/>
        <v>0.77777777777777768</v>
      </c>
      <c r="H58" s="1109">
        <f t="shared" si="6"/>
        <v>0.77777777777777768</v>
      </c>
      <c r="I58" s="1842"/>
    </row>
    <row r="59" spans="1:10" ht="26" x14ac:dyDescent="0.35">
      <c r="A59" s="2306"/>
      <c r="B59" s="2316"/>
      <c r="C59" s="1838" t="s">
        <v>545</v>
      </c>
      <c r="D59" s="1844">
        <v>45</v>
      </c>
      <c r="E59" s="1837">
        <v>0.9</v>
      </c>
      <c r="F59" s="1837">
        <v>0.7</v>
      </c>
      <c r="G59" s="1843">
        <f t="shared" si="5"/>
        <v>0.77777777777777768</v>
      </c>
      <c r="H59" s="1109">
        <f t="shared" si="6"/>
        <v>0.77777777777777768</v>
      </c>
      <c r="I59" s="1842"/>
    </row>
    <row r="60" spans="1:10" ht="39" x14ac:dyDescent="0.35">
      <c r="A60" s="2306"/>
      <c r="B60" s="2316"/>
      <c r="C60" s="1838" t="s">
        <v>546</v>
      </c>
      <c r="D60" s="1844">
        <v>46</v>
      </c>
      <c r="E60" s="1837">
        <v>0.9</v>
      </c>
      <c r="F60" s="1837">
        <v>0.6</v>
      </c>
      <c r="G60" s="1843">
        <f t="shared" si="5"/>
        <v>0.66666666666666663</v>
      </c>
      <c r="H60" s="1109">
        <f t="shared" si="6"/>
        <v>0.66666666666666663</v>
      </c>
      <c r="I60" s="1842"/>
    </row>
    <row r="61" spans="1:10" ht="27" thickBot="1" x14ac:dyDescent="0.4">
      <c r="A61" s="2306"/>
      <c r="B61" s="2316"/>
      <c r="C61" s="1845" t="s">
        <v>547</v>
      </c>
      <c r="D61" s="1846">
        <v>47</v>
      </c>
      <c r="E61" s="1839"/>
      <c r="F61" s="1839"/>
      <c r="G61" s="1843" t="s">
        <v>1420</v>
      </c>
      <c r="H61" s="1109" t="s">
        <v>1420</v>
      </c>
      <c r="I61" s="1842" t="s">
        <v>365</v>
      </c>
    </row>
    <row r="62" spans="1:10" ht="15" thickBot="1" x14ac:dyDescent="0.4">
      <c r="A62" s="357"/>
      <c r="B62" s="1884"/>
      <c r="C62" s="358" t="s">
        <v>366</v>
      </c>
      <c r="D62" s="347"/>
      <c r="E62" s="347"/>
      <c r="F62" s="359"/>
      <c r="G62" s="353"/>
      <c r="H62" s="1847"/>
      <c r="I62" s="1848">
        <f>AVERAGE(H54:H61)</f>
        <v>0.57244897959183672</v>
      </c>
    </row>
    <row r="63" spans="1:10" ht="15" thickBot="1" x14ac:dyDescent="0.4">
      <c r="A63" s="1849"/>
      <c r="B63" s="360"/>
      <c r="C63" s="360"/>
      <c r="D63" s="360"/>
      <c r="E63" s="360"/>
      <c r="F63" s="1850"/>
      <c r="G63" s="1851"/>
      <c r="H63" s="1851"/>
      <c r="I63" s="1852"/>
    </row>
    <row r="64" spans="1:10" ht="15" thickBot="1" x14ac:dyDescent="0.4">
      <c r="A64" s="2323" t="s">
        <v>548</v>
      </c>
      <c r="B64" s="2324"/>
      <c r="C64" s="2324"/>
      <c r="D64" s="2324"/>
      <c r="E64" s="2324"/>
      <c r="F64" s="2324"/>
      <c r="G64" s="2324"/>
      <c r="H64" s="2324"/>
      <c r="I64" s="2325"/>
    </row>
    <row r="65" spans="1:11" ht="26" x14ac:dyDescent="0.35">
      <c r="A65" s="2306">
        <v>7</v>
      </c>
      <c r="B65" s="2308" t="s">
        <v>549</v>
      </c>
      <c r="C65" s="1110" t="s">
        <v>550</v>
      </c>
      <c r="D65" s="1107">
        <v>48</v>
      </c>
      <c r="E65" s="1107">
        <v>150</v>
      </c>
      <c r="F65" s="1108">
        <v>120</v>
      </c>
      <c r="G65" s="1109">
        <f>F65/E65</f>
        <v>0.8</v>
      </c>
      <c r="H65" s="1109">
        <f>G65</f>
        <v>0.8</v>
      </c>
      <c r="I65" s="1842"/>
    </row>
    <row r="66" spans="1:11" x14ac:dyDescent="0.35">
      <c r="A66" s="2306"/>
      <c r="B66" s="2309"/>
      <c r="C66" s="1842" t="s">
        <v>551</v>
      </c>
      <c r="D66" s="1844">
        <v>49</v>
      </c>
      <c r="E66" s="1853">
        <v>1520</v>
      </c>
      <c r="F66" s="1837">
        <v>1100</v>
      </c>
      <c r="G66" s="1843">
        <f>F66/E66</f>
        <v>0.72368421052631582</v>
      </c>
      <c r="H66" s="1109">
        <f t="shared" ref="H66:H70" si="7">G66</f>
        <v>0.72368421052631582</v>
      </c>
      <c r="I66" s="1842"/>
    </row>
    <row r="67" spans="1:11" x14ac:dyDescent="0.35">
      <c r="A67" s="2306"/>
      <c r="B67" s="2309"/>
      <c r="C67" s="1842" t="s">
        <v>552</v>
      </c>
      <c r="D67" s="1837">
        <v>50</v>
      </c>
      <c r="E67" s="1837" t="s">
        <v>553</v>
      </c>
      <c r="F67" s="1837"/>
      <c r="G67" s="1843" t="s">
        <v>1420</v>
      </c>
      <c r="H67" s="1109" t="s">
        <v>1420</v>
      </c>
      <c r="I67" s="1838"/>
    </row>
    <row r="68" spans="1:11" ht="65" x14ac:dyDescent="0.35">
      <c r="A68" s="2306"/>
      <c r="B68" s="2309"/>
      <c r="C68" s="1854" t="s">
        <v>554</v>
      </c>
      <c r="D68" s="1855">
        <v>51</v>
      </c>
      <c r="E68" s="1855">
        <v>300</v>
      </c>
      <c r="F68" s="1855">
        <v>210</v>
      </c>
      <c r="G68" s="1856">
        <f>F68/E68</f>
        <v>0.7</v>
      </c>
      <c r="H68" s="1109">
        <f t="shared" si="7"/>
        <v>0.7</v>
      </c>
      <c r="I68" s="1857"/>
    </row>
    <row r="69" spans="1:11" ht="26" x14ac:dyDescent="0.35">
      <c r="A69" s="2306"/>
      <c r="B69" s="2309"/>
      <c r="C69" s="1854" t="s">
        <v>555</v>
      </c>
      <c r="D69" s="1855">
        <v>52</v>
      </c>
      <c r="E69" s="1837">
        <v>100</v>
      </c>
      <c r="F69" s="1837">
        <v>40</v>
      </c>
      <c r="G69" s="1843">
        <f>F69/E69</f>
        <v>0.4</v>
      </c>
      <c r="H69" s="1109">
        <f t="shared" si="7"/>
        <v>0.4</v>
      </c>
      <c r="I69" s="1838"/>
    </row>
    <row r="70" spans="1:11" ht="39.5" thickBot="1" x14ac:dyDescent="0.4">
      <c r="A70" s="2307"/>
      <c r="B70" s="2309"/>
      <c r="C70" s="1842" t="s">
        <v>556</v>
      </c>
      <c r="D70" s="1844">
        <v>53</v>
      </c>
      <c r="E70" s="1858" t="s">
        <v>557</v>
      </c>
      <c r="F70" s="1837">
        <v>45</v>
      </c>
      <c r="G70" s="1859">
        <f>F70/E70</f>
        <v>0.45</v>
      </c>
      <c r="H70" s="1109">
        <f t="shared" si="7"/>
        <v>0.45</v>
      </c>
      <c r="I70" s="1838"/>
    </row>
    <row r="71" spans="1:11" ht="15" thickBot="1" x14ac:dyDescent="0.4">
      <c r="A71" s="2310" t="s">
        <v>366</v>
      </c>
      <c r="B71" s="2311"/>
      <c r="C71" s="2311"/>
      <c r="D71" s="2311"/>
      <c r="E71" s="2311"/>
      <c r="F71" s="2311"/>
      <c r="G71" s="361"/>
      <c r="H71" s="1441"/>
      <c r="I71" s="1860">
        <f>AVERAGE(H65:H70)</f>
        <v>0.61473684210526325</v>
      </c>
    </row>
    <row r="72" spans="1:11" ht="15" thickBot="1" x14ac:dyDescent="0.4">
      <c r="A72" s="1861"/>
      <c r="B72" s="1862"/>
      <c r="C72" s="1862"/>
      <c r="D72" s="1862"/>
      <c r="E72" s="1862"/>
      <c r="F72" s="1862"/>
      <c r="G72" s="1863"/>
      <c r="H72" s="1863"/>
      <c r="I72" s="1842"/>
    </row>
    <row r="73" spans="1:11" ht="15" thickBot="1" x14ac:dyDescent="0.4">
      <c r="A73" s="2312" t="s">
        <v>558</v>
      </c>
      <c r="B73" s="2313"/>
      <c r="C73" s="2313"/>
      <c r="D73" s="2313"/>
      <c r="E73" s="2313"/>
      <c r="F73" s="2313"/>
      <c r="G73" s="2313"/>
      <c r="H73" s="1442"/>
      <c r="I73" s="1864"/>
    </row>
    <row r="74" spans="1:11" ht="39" x14ac:dyDescent="0.35">
      <c r="A74" s="2314">
        <v>8</v>
      </c>
      <c r="B74" s="2315" t="s">
        <v>559</v>
      </c>
      <c r="C74" s="1865" t="s">
        <v>560</v>
      </c>
      <c r="D74" s="1866">
        <v>54</v>
      </c>
      <c r="E74" s="1867" t="s">
        <v>557</v>
      </c>
      <c r="F74" s="1868" t="s">
        <v>561</v>
      </c>
      <c r="G74" s="1869">
        <f>F74/E74</f>
        <v>0.4</v>
      </c>
      <c r="H74" s="1869">
        <f>G74</f>
        <v>0.4</v>
      </c>
      <c r="I74" s="1870"/>
      <c r="K74">
        <v>69</v>
      </c>
    </row>
    <row r="75" spans="1:11" ht="78" x14ac:dyDescent="0.35">
      <c r="A75" s="2306"/>
      <c r="B75" s="2316"/>
      <c r="C75" s="1871" t="s">
        <v>562</v>
      </c>
      <c r="D75" s="1872">
        <v>55</v>
      </c>
      <c r="E75" s="1873" t="s">
        <v>557</v>
      </c>
      <c r="F75" s="1873" t="s">
        <v>563</v>
      </c>
      <c r="G75" s="1869">
        <f>F75/E75</f>
        <v>0.65</v>
      </c>
      <c r="H75" s="1869">
        <f t="shared" ref="H75:H78" si="8">G75</f>
        <v>0.65</v>
      </c>
      <c r="I75" s="1874"/>
      <c r="K75">
        <v>74</v>
      </c>
    </row>
    <row r="76" spans="1:11" ht="52" x14ac:dyDescent="0.35">
      <c r="A76" s="2306"/>
      <c r="B76" s="2316"/>
      <c r="C76" s="1875" t="s">
        <v>564</v>
      </c>
      <c r="D76" s="1872">
        <v>56</v>
      </c>
      <c r="E76" s="1872">
        <v>40</v>
      </c>
      <c r="F76" s="1872">
        <v>5</v>
      </c>
      <c r="G76" s="1869">
        <f>F76/E76</f>
        <v>0.125</v>
      </c>
      <c r="H76" s="1869">
        <f t="shared" si="8"/>
        <v>0.125</v>
      </c>
      <c r="I76" s="1874"/>
      <c r="K76">
        <v>106</v>
      </c>
    </row>
    <row r="77" spans="1:11" ht="26" x14ac:dyDescent="0.35">
      <c r="A77" s="2306"/>
      <c r="B77" s="2316"/>
      <c r="C77" s="1865" t="s">
        <v>565</v>
      </c>
      <c r="D77" s="1866">
        <v>57</v>
      </c>
      <c r="E77" s="1866">
        <v>2</v>
      </c>
      <c r="F77" s="1876">
        <v>0</v>
      </c>
      <c r="G77" s="1877">
        <f>F77/E77</f>
        <v>0</v>
      </c>
      <c r="H77" s="1869">
        <f t="shared" si="8"/>
        <v>0</v>
      </c>
      <c r="I77" s="1870"/>
      <c r="K77">
        <v>57</v>
      </c>
    </row>
    <row r="78" spans="1:11" ht="52.5" thickBot="1" x14ac:dyDescent="0.4">
      <c r="A78" s="2306"/>
      <c r="B78" s="2316"/>
      <c r="C78" s="1878" t="s">
        <v>566</v>
      </c>
      <c r="D78" s="1879">
        <v>58</v>
      </c>
      <c r="E78" s="1880">
        <v>0.5</v>
      </c>
      <c r="F78" s="1880">
        <v>0.2</v>
      </c>
      <c r="G78" s="1881">
        <f>F78/E78</f>
        <v>0.4</v>
      </c>
      <c r="H78" s="1869">
        <f t="shared" si="8"/>
        <v>0.4</v>
      </c>
      <c r="I78" s="1870"/>
      <c r="K78">
        <v>61</v>
      </c>
    </row>
    <row r="79" spans="1:11" ht="15" thickBot="1" x14ac:dyDescent="0.4">
      <c r="A79" s="2304" t="s">
        <v>366</v>
      </c>
      <c r="B79" s="2305"/>
      <c r="C79" s="2305"/>
      <c r="D79" s="2305"/>
      <c r="E79" s="2305"/>
      <c r="F79" s="2305"/>
      <c r="G79" s="1444"/>
      <c r="H79" s="1445"/>
      <c r="I79" s="1882">
        <f>AVERAGE(H74:H78)</f>
        <v>0.31500000000000006</v>
      </c>
      <c r="K79">
        <v>32</v>
      </c>
    </row>
    <row r="80" spans="1:11" ht="15" thickBot="1" x14ac:dyDescent="0.4">
      <c r="A80" s="2304" t="s">
        <v>1087</v>
      </c>
      <c r="B80" s="2305"/>
      <c r="C80" s="2305"/>
      <c r="D80" s="2305"/>
      <c r="E80" s="2305"/>
      <c r="F80" s="2305"/>
      <c r="G80" s="1444"/>
      <c r="H80" s="1445">
        <f>AVERAGE(H6:H79)</f>
        <v>0.65406463902669942</v>
      </c>
      <c r="I80" s="1882"/>
    </row>
  </sheetData>
  <mergeCells count="30">
    <mergeCell ref="A1:I1"/>
    <mergeCell ref="A2:I2"/>
    <mergeCell ref="A3:I3"/>
    <mergeCell ref="A5:I5"/>
    <mergeCell ref="A6:A22"/>
    <mergeCell ref="B6:B22"/>
    <mergeCell ref="A25:I25"/>
    <mergeCell ref="A26:A30"/>
    <mergeCell ref="B26:B30"/>
    <mergeCell ref="A31:F31"/>
    <mergeCell ref="A33:I33"/>
    <mergeCell ref="A34:A45"/>
    <mergeCell ref="B34:B45"/>
    <mergeCell ref="A46:A48"/>
    <mergeCell ref="B46:B48"/>
    <mergeCell ref="A49:A50"/>
    <mergeCell ref="B49:B50"/>
    <mergeCell ref="A51:F51"/>
    <mergeCell ref="A53:I53"/>
    <mergeCell ref="A54:A61"/>
    <mergeCell ref="B54:B61"/>
    <mergeCell ref="A64:I64"/>
    <mergeCell ref="A79:F79"/>
    <mergeCell ref="A80:F80"/>
    <mergeCell ref="A65:A70"/>
    <mergeCell ref="B65:B70"/>
    <mergeCell ref="A71:F71"/>
    <mergeCell ref="A73:G73"/>
    <mergeCell ref="A74:A78"/>
    <mergeCell ref="B74:B78"/>
  </mergeCells>
  <printOptions horizontalCentered="1"/>
  <pageMargins left="0.31496062992125984" right="0.31496062992125984" top="0.35433070866141736" bottom="0.35433070866141736" header="0.31496062992125984" footer="0.31496062992125984"/>
  <pageSetup scale="9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E904-FB97-4B4C-BB7C-F8B8FC84E9B2}">
  <sheetPr>
    <tabColor theme="1" tint="4.9989318521683403E-2"/>
  </sheetPr>
  <dimension ref="A1:J45"/>
  <sheetViews>
    <sheetView topLeftCell="A37" zoomScaleNormal="100" workbookViewId="0">
      <selection activeCell="F45" sqref="F45"/>
    </sheetView>
  </sheetViews>
  <sheetFormatPr defaultRowHeight="14.5" x14ac:dyDescent="0.35"/>
  <cols>
    <col min="2" max="2" width="26.1796875" customWidth="1"/>
    <col min="3" max="3" width="34.7265625" customWidth="1"/>
    <col min="4" max="4" width="7.7265625" customWidth="1"/>
    <col min="5" max="5" width="9.7265625" customWidth="1"/>
    <col min="6" max="6" width="10.26953125" customWidth="1"/>
    <col min="7" max="8" width="12.26953125" customWidth="1"/>
    <col min="9" max="9" width="20.7265625" customWidth="1"/>
    <col min="10" max="10" width="25.54296875" customWidth="1"/>
  </cols>
  <sheetData>
    <row r="1" spans="1:10" ht="17" x14ac:dyDescent="0.4">
      <c r="A1" s="2342" t="s">
        <v>444</v>
      </c>
      <c r="B1" s="2342"/>
      <c r="C1" s="2342"/>
      <c r="D1" s="2342"/>
      <c r="E1" s="2342"/>
      <c r="F1" s="2342"/>
      <c r="G1" s="2342"/>
      <c r="H1" s="2342"/>
      <c r="I1" s="2342"/>
      <c r="J1" s="317"/>
    </row>
    <row r="2" spans="1:10" ht="19" thickBot="1" x14ac:dyDescent="0.5">
      <c r="A2" s="2068" t="s">
        <v>1029</v>
      </c>
      <c r="B2" s="2068"/>
      <c r="C2" s="2068"/>
      <c r="D2" s="2068"/>
      <c r="E2" s="2068"/>
      <c r="F2" s="2068"/>
      <c r="G2" s="2068"/>
      <c r="H2" s="2068"/>
      <c r="I2" s="2068"/>
      <c r="J2" s="884"/>
    </row>
    <row r="3" spans="1:10" ht="44" thickBot="1" x14ac:dyDescent="0.4">
      <c r="A3" s="1155" t="s">
        <v>445</v>
      </c>
      <c r="B3" s="1156" t="s">
        <v>446</v>
      </c>
      <c r="C3" s="1157" t="s">
        <v>4</v>
      </c>
      <c r="D3" s="1157" t="s">
        <v>447</v>
      </c>
      <c r="E3" s="1158" t="s">
        <v>6</v>
      </c>
      <c r="F3" s="1159" t="s">
        <v>448</v>
      </c>
      <c r="G3" s="1159" t="s">
        <v>25</v>
      </c>
      <c r="H3" s="1446" t="s">
        <v>1418</v>
      </c>
      <c r="I3" s="1160" t="s">
        <v>9</v>
      </c>
      <c r="J3" s="317"/>
    </row>
    <row r="4" spans="1:10" ht="15" thickBot="1" x14ac:dyDescent="0.4">
      <c r="A4" s="2343" t="s">
        <v>449</v>
      </c>
      <c r="B4" s="2344"/>
      <c r="C4" s="2344"/>
      <c r="D4" s="2344"/>
      <c r="E4" s="2344"/>
      <c r="F4" s="2344"/>
      <c r="G4" s="2344"/>
      <c r="H4" s="2345"/>
      <c r="I4" s="2346"/>
      <c r="J4" s="317"/>
    </row>
    <row r="5" spans="1:10" ht="58" x14ac:dyDescent="0.35">
      <c r="A5" s="2354">
        <v>1</v>
      </c>
      <c r="B5" s="2350" t="s">
        <v>450</v>
      </c>
      <c r="C5" s="1161" t="s">
        <v>1242</v>
      </c>
      <c r="D5" s="1163">
        <v>1</v>
      </c>
      <c r="E5" s="1163">
        <v>1200</v>
      </c>
      <c r="F5" s="1163">
        <v>1000</v>
      </c>
      <c r="G5" s="1164">
        <f>F5/E5</f>
        <v>0.83333333333333337</v>
      </c>
      <c r="H5" s="1164">
        <f>G5</f>
        <v>0.83333333333333337</v>
      </c>
      <c r="I5" s="1165" t="s">
        <v>451</v>
      </c>
      <c r="J5" s="317" t="s">
        <v>1243</v>
      </c>
    </row>
    <row r="6" spans="1:10" ht="29" x14ac:dyDescent="0.35">
      <c r="A6" s="2355"/>
      <c r="B6" s="2351"/>
      <c r="C6" s="1167" t="s">
        <v>452</v>
      </c>
      <c r="D6" s="1171">
        <v>2</v>
      </c>
      <c r="E6" s="1169">
        <v>0.1</v>
      </c>
      <c r="F6" s="1169">
        <v>0.06</v>
      </c>
      <c r="G6" s="1169">
        <f t="shared" ref="G6:G10" si="0">F6/E6</f>
        <v>0.6</v>
      </c>
      <c r="H6" s="1164">
        <f t="shared" ref="H6:H10" si="1">G6</f>
        <v>0.6</v>
      </c>
      <c r="I6" s="1170"/>
      <c r="J6" s="317"/>
    </row>
    <row r="7" spans="1:10" ht="43.5" x14ac:dyDescent="0.35">
      <c r="A7" s="2355"/>
      <c r="B7" s="2351"/>
      <c r="C7" s="1167" t="s">
        <v>453</v>
      </c>
      <c r="D7" s="1171">
        <v>3</v>
      </c>
      <c r="E7" s="1171">
        <v>2</v>
      </c>
      <c r="F7" s="1171">
        <v>2</v>
      </c>
      <c r="G7" s="1169">
        <f t="shared" si="0"/>
        <v>1</v>
      </c>
      <c r="H7" s="1164">
        <f t="shared" si="1"/>
        <v>1</v>
      </c>
      <c r="I7" s="1170"/>
      <c r="J7" s="317"/>
    </row>
    <row r="8" spans="1:10" ht="58" x14ac:dyDescent="0.35">
      <c r="A8" s="2355"/>
      <c r="B8" s="2351"/>
      <c r="C8" s="1167" t="s">
        <v>1244</v>
      </c>
      <c r="D8" s="1171">
        <v>4</v>
      </c>
      <c r="E8" s="1171">
        <v>3</v>
      </c>
      <c r="F8" s="1171">
        <v>3</v>
      </c>
      <c r="G8" s="1169">
        <f t="shared" si="0"/>
        <v>1</v>
      </c>
      <c r="H8" s="1164">
        <f t="shared" si="1"/>
        <v>1</v>
      </c>
      <c r="I8" s="1170"/>
      <c r="J8" s="317" t="s">
        <v>1245</v>
      </c>
    </row>
    <row r="9" spans="1:10" ht="58" x14ac:dyDescent="0.35">
      <c r="A9" s="2355"/>
      <c r="B9" s="2351"/>
      <c r="C9" s="1167" t="s">
        <v>454</v>
      </c>
      <c r="D9" s="1171">
        <v>5</v>
      </c>
      <c r="E9" s="1171">
        <v>48</v>
      </c>
      <c r="F9" s="1171">
        <v>39</v>
      </c>
      <c r="G9" s="1169">
        <f t="shared" si="0"/>
        <v>0.8125</v>
      </c>
      <c r="H9" s="1164">
        <f t="shared" si="1"/>
        <v>0.8125</v>
      </c>
      <c r="I9" s="1170" t="s">
        <v>1246</v>
      </c>
      <c r="J9" s="317"/>
    </row>
    <row r="10" spans="1:10" ht="58" x14ac:dyDescent="0.35">
      <c r="A10" s="2355"/>
      <c r="B10" s="2351"/>
      <c r="C10" s="1167" t="s">
        <v>455</v>
      </c>
      <c r="D10" s="1171">
        <v>6</v>
      </c>
      <c r="E10" s="1171">
        <v>120</v>
      </c>
      <c r="F10" s="1171">
        <v>5</v>
      </c>
      <c r="G10" s="1169">
        <f t="shared" si="0"/>
        <v>4.1666666666666664E-2</v>
      </c>
      <c r="H10" s="1164">
        <f t="shared" si="1"/>
        <v>4.1666666666666664E-2</v>
      </c>
      <c r="I10" s="1170"/>
      <c r="J10" s="317"/>
    </row>
    <row r="11" spans="1:10" x14ac:dyDescent="0.35">
      <c r="A11" s="879"/>
      <c r="B11" s="1166"/>
      <c r="C11" s="1172" t="s">
        <v>25</v>
      </c>
      <c r="D11" s="1173"/>
      <c r="E11" s="1173"/>
      <c r="F11" s="1173"/>
      <c r="G11" s="1451"/>
      <c r="H11" s="1447"/>
      <c r="I11" s="1450">
        <f>AVERAGE(H5:H10)</f>
        <v>0.71458333333333346</v>
      </c>
      <c r="J11" s="317"/>
    </row>
    <row r="12" spans="1:10" ht="15" thickBot="1" x14ac:dyDescent="0.4">
      <c r="A12" s="879"/>
      <c r="B12" s="1166"/>
      <c r="C12" s="1167"/>
      <c r="D12" s="1168"/>
      <c r="E12" s="1168"/>
      <c r="F12" s="1168"/>
      <c r="G12" s="1452"/>
      <c r="H12" s="1452"/>
      <c r="I12" s="1170"/>
      <c r="J12" s="317"/>
    </row>
    <row r="13" spans="1:10" ht="15" thickBot="1" x14ac:dyDescent="0.4">
      <c r="A13" s="2356" t="s">
        <v>456</v>
      </c>
      <c r="B13" s="2357"/>
      <c r="C13" s="2357"/>
      <c r="D13" s="2357"/>
      <c r="E13" s="2357"/>
      <c r="F13" s="2357"/>
      <c r="G13" s="2357"/>
      <c r="H13" s="2358"/>
      <c r="I13" s="2359"/>
      <c r="J13" s="317"/>
    </row>
    <row r="14" spans="1:10" ht="58" x14ac:dyDescent="0.35">
      <c r="A14" s="2347">
        <v>2</v>
      </c>
      <c r="B14" s="2350" t="s">
        <v>457</v>
      </c>
      <c r="C14" s="1161" t="s">
        <v>458</v>
      </c>
      <c r="D14" s="1163">
        <v>1</v>
      </c>
      <c r="E14" s="1163">
        <v>6</v>
      </c>
      <c r="F14" s="1163">
        <v>2</v>
      </c>
      <c r="G14" s="1169">
        <f t="shared" ref="G14:G31" si="2">F14/E14</f>
        <v>0.33333333333333331</v>
      </c>
      <c r="H14" s="1164">
        <f t="shared" ref="H14:H20" si="3">G14</f>
        <v>0.33333333333333331</v>
      </c>
      <c r="I14" s="1174"/>
      <c r="J14" s="318"/>
    </row>
    <row r="15" spans="1:10" ht="43.5" x14ac:dyDescent="0.35">
      <c r="A15" s="2348"/>
      <c r="B15" s="2351"/>
      <c r="C15" s="1167" t="s">
        <v>459</v>
      </c>
      <c r="D15" s="1171">
        <v>2</v>
      </c>
      <c r="E15" s="1171">
        <v>100</v>
      </c>
      <c r="F15" s="1171">
        <v>55</v>
      </c>
      <c r="G15" s="1169">
        <f t="shared" si="2"/>
        <v>0.55000000000000004</v>
      </c>
      <c r="H15" s="1164">
        <f t="shared" si="3"/>
        <v>0.55000000000000004</v>
      </c>
      <c r="I15" s="1175"/>
      <c r="J15" s="318" t="s">
        <v>460</v>
      </c>
    </row>
    <row r="16" spans="1:10" ht="43.5" x14ac:dyDescent="0.35">
      <c r="A16" s="2348"/>
      <c r="B16" s="2351"/>
      <c r="C16" s="1167" t="s">
        <v>461</v>
      </c>
      <c r="D16" s="1171">
        <v>3</v>
      </c>
      <c r="E16" s="1171">
        <v>40</v>
      </c>
      <c r="F16" s="1171">
        <v>30</v>
      </c>
      <c r="G16" s="1169">
        <f t="shared" si="2"/>
        <v>0.75</v>
      </c>
      <c r="H16" s="1164">
        <f t="shared" si="3"/>
        <v>0.75</v>
      </c>
      <c r="I16" s="1175"/>
      <c r="J16" s="318" t="s">
        <v>462</v>
      </c>
    </row>
    <row r="17" spans="1:10" ht="43.5" x14ac:dyDescent="0.35">
      <c r="A17" s="2348"/>
      <c r="B17" s="2351"/>
      <c r="C17" s="1167" t="s">
        <v>463</v>
      </c>
      <c r="D17" s="1171">
        <v>4</v>
      </c>
      <c r="E17" s="1171">
        <v>6</v>
      </c>
      <c r="F17" s="1171">
        <v>4</v>
      </c>
      <c r="G17" s="1169">
        <f t="shared" si="2"/>
        <v>0.66666666666666663</v>
      </c>
      <c r="H17" s="1164">
        <f t="shared" si="3"/>
        <v>0.66666666666666663</v>
      </c>
      <c r="I17" s="1175"/>
      <c r="J17" s="318" t="s">
        <v>464</v>
      </c>
    </row>
    <row r="18" spans="1:10" ht="29" x14ac:dyDescent="0.35">
      <c r="A18" s="2348"/>
      <c r="B18" s="2351"/>
      <c r="C18" s="1167" t="s">
        <v>465</v>
      </c>
      <c r="D18" s="1171">
        <v>5</v>
      </c>
      <c r="E18" s="1171">
        <v>6</v>
      </c>
      <c r="F18" s="1171">
        <v>3</v>
      </c>
      <c r="G18" s="1169">
        <f t="shared" si="2"/>
        <v>0.5</v>
      </c>
      <c r="H18" s="1164">
        <f t="shared" si="3"/>
        <v>0.5</v>
      </c>
      <c r="I18" s="1175" t="s">
        <v>1247</v>
      </c>
      <c r="J18" s="318" t="s">
        <v>466</v>
      </c>
    </row>
    <row r="19" spans="1:10" ht="43.5" x14ac:dyDescent="0.35">
      <c r="A19" s="2348"/>
      <c r="B19" s="2351"/>
      <c r="C19" s="1167" t="s">
        <v>467</v>
      </c>
      <c r="D19" s="1171">
        <v>6</v>
      </c>
      <c r="E19" s="1171">
        <v>24</v>
      </c>
      <c r="F19" s="1171">
        <v>8</v>
      </c>
      <c r="G19" s="1169">
        <f t="shared" si="2"/>
        <v>0.33333333333333331</v>
      </c>
      <c r="H19" s="1164">
        <f t="shared" si="3"/>
        <v>0.33333333333333331</v>
      </c>
      <c r="I19" s="1175"/>
      <c r="J19" s="318"/>
    </row>
    <row r="20" spans="1:10" ht="58.5" thickBot="1" x14ac:dyDescent="0.4">
      <c r="A20" s="2349"/>
      <c r="B20" s="2352"/>
      <c r="C20" s="1177" t="s">
        <v>468</v>
      </c>
      <c r="D20" s="1188">
        <v>7</v>
      </c>
      <c r="E20" s="1188">
        <v>60</v>
      </c>
      <c r="F20" s="1188">
        <v>50</v>
      </c>
      <c r="G20" s="1189">
        <f t="shared" si="2"/>
        <v>0.83333333333333337</v>
      </c>
      <c r="H20" s="1164">
        <f t="shared" si="3"/>
        <v>0.83333333333333337</v>
      </c>
      <c r="I20" s="1178"/>
      <c r="J20" s="318"/>
    </row>
    <row r="21" spans="1:10" ht="15" thickBot="1" x14ac:dyDescent="0.4">
      <c r="A21" s="320"/>
      <c r="B21" s="321"/>
      <c r="C21" s="322" t="s">
        <v>25</v>
      </c>
      <c r="D21" s="323"/>
      <c r="E21" s="323"/>
      <c r="F21" s="323"/>
      <c r="G21" s="324"/>
      <c r="H21" s="1447"/>
      <c r="I21" s="1453">
        <f>AVERAGE(H14:H21)</f>
        <v>0.56666666666666665</v>
      </c>
      <c r="J21" s="318"/>
    </row>
    <row r="22" spans="1:10" x14ac:dyDescent="0.35">
      <c r="A22" s="1179"/>
      <c r="B22" s="1180"/>
      <c r="C22" s="1181"/>
      <c r="D22" s="1179"/>
      <c r="E22" s="1163"/>
      <c r="F22" s="1163"/>
      <c r="G22" s="1182"/>
      <c r="H22" s="1182"/>
      <c r="I22" s="1183"/>
      <c r="J22" s="317"/>
    </row>
    <row r="23" spans="1:10" x14ac:dyDescent="0.35">
      <c r="A23" s="2353" t="s">
        <v>469</v>
      </c>
      <c r="B23" s="2353"/>
      <c r="C23" s="2353"/>
      <c r="D23" s="2353"/>
      <c r="E23" s="2353"/>
      <c r="F23" s="2353"/>
      <c r="G23" s="2353"/>
      <c r="H23" s="2353"/>
      <c r="I23" s="2353"/>
      <c r="J23" s="317"/>
    </row>
    <row r="24" spans="1:10" ht="29" x14ac:dyDescent="0.35">
      <c r="A24" s="2368">
        <v>3</v>
      </c>
      <c r="B24" s="2369" t="s">
        <v>470</v>
      </c>
      <c r="C24" s="1128" t="s">
        <v>471</v>
      </c>
      <c r="D24" s="1184">
        <v>1</v>
      </c>
      <c r="E24" s="1171">
        <v>60</v>
      </c>
      <c r="F24" s="1171">
        <v>0</v>
      </c>
      <c r="G24" s="1169">
        <f t="shared" si="2"/>
        <v>0</v>
      </c>
      <c r="H24" s="1164">
        <f t="shared" ref="H24:H31" si="4">G24</f>
        <v>0</v>
      </c>
      <c r="I24" s="1170"/>
      <c r="J24" s="317"/>
    </row>
    <row r="25" spans="1:10" ht="43.5" x14ac:dyDescent="0.35">
      <c r="A25" s="2368"/>
      <c r="B25" s="2370"/>
      <c r="C25" s="1128" t="s">
        <v>472</v>
      </c>
      <c r="D25" s="1184">
        <v>2</v>
      </c>
      <c r="E25" s="1171">
        <v>40</v>
      </c>
      <c r="F25" s="1171">
        <v>38</v>
      </c>
      <c r="G25" s="1169">
        <f t="shared" si="2"/>
        <v>0.95</v>
      </c>
      <c r="H25" s="1164">
        <f t="shared" si="4"/>
        <v>0.95</v>
      </c>
      <c r="I25" s="1170" t="s">
        <v>1248</v>
      </c>
      <c r="J25" s="317"/>
    </row>
    <row r="26" spans="1:10" ht="43.5" x14ac:dyDescent="0.35">
      <c r="A26" s="2368"/>
      <c r="B26" s="2370"/>
      <c r="C26" s="1128" t="s">
        <v>473</v>
      </c>
      <c r="D26" s="1184">
        <v>3</v>
      </c>
      <c r="E26" s="1171">
        <v>24</v>
      </c>
      <c r="F26" s="1171">
        <v>20</v>
      </c>
      <c r="G26" s="1169">
        <f t="shared" si="2"/>
        <v>0.83333333333333337</v>
      </c>
      <c r="H26" s="1164">
        <f t="shared" si="4"/>
        <v>0.83333333333333337</v>
      </c>
      <c r="I26" s="1170"/>
      <c r="J26" s="317"/>
    </row>
    <row r="27" spans="1:10" ht="43.5" x14ac:dyDescent="0.35">
      <c r="A27" s="2368"/>
      <c r="B27" s="2370"/>
      <c r="C27" s="1128" t="s">
        <v>474</v>
      </c>
      <c r="D27" s="1184">
        <v>4</v>
      </c>
      <c r="E27" s="1171">
        <v>6</v>
      </c>
      <c r="F27" s="1171">
        <v>5</v>
      </c>
      <c r="G27" s="1169">
        <f t="shared" si="2"/>
        <v>0.83333333333333337</v>
      </c>
      <c r="H27" s="1164">
        <f t="shared" si="4"/>
        <v>0.83333333333333337</v>
      </c>
      <c r="I27" s="1170"/>
      <c r="J27" s="317"/>
    </row>
    <row r="28" spans="1:10" ht="43.5" x14ac:dyDescent="0.35">
      <c r="A28" s="2368"/>
      <c r="B28" s="2370"/>
      <c r="C28" s="1128" t="s">
        <v>475</v>
      </c>
      <c r="D28" s="1184">
        <v>5</v>
      </c>
      <c r="E28" s="1171">
        <f>27*(18+12+20)</f>
        <v>1350</v>
      </c>
      <c r="F28" s="1171">
        <v>1000</v>
      </c>
      <c r="G28" s="1169">
        <f t="shared" si="2"/>
        <v>0.7407407407407407</v>
      </c>
      <c r="H28" s="1164">
        <f t="shared" si="4"/>
        <v>0.7407407407407407</v>
      </c>
      <c r="I28" s="1170"/>
      <c r="J28" s="317"/>
    </row>
    <row r="29" spans="1:10" ht="43.5" x14ac:dyDescent="0.35">
      <c r="A29" s="2368"/>
      <c r="B29" s="2370"/>
      <c r="C29" s="1128" t="s">
        <v>476</v>
      </c>
      <c r="D29" s="1184">
        <v>6</v>
      </c>
      <c r="E29" s="1169">
        <v>0.5</v>
      </c>
      <c r="F29" s="1169">
        <v>0.4</v>
      </c>
      <c r="G29" s="1169">
        <f t="shared" si="2"/>
        <v>0.8</v>
      </c>
      <c r="H29" s="1164">
        <f t="shared" si="4"/>
        <v>0.8</v>
      </c>
      <c r="I29" s="1170"/>
      <c r="J29" s="317"/>
    </row>
    <row r="30" spans="1:10" ht="43.5" x14ac:dyDescent="0.35">
      <c r="A30" s="2368"/>
      <c r="B30" s="2367"/>
      <c r="C30" s="1128" t="s">
        <v>1249</v>
      </c>
      <c r="D30" s="1184">
        <v>7</v>
      </c>
      <c r="E30" s="1171">
        <v>12</v>
      </c>
      <c r="F30" s="1171">
        <v>9</v>
      </c>
      <c r="G30" s="1169">
        <f t="shared" si="2"/>
        <v>0.75</v>
      </c>
      <c r="H30" s="1164">
        <f t="shared" si="4"/>
        <v>0.75</v>
      </c>
      <c r="I30" s="1170"/>
      <c r="J30" s="317"/>
    </row>
    <row r="31" spans="1:10" ht="58.5" thickBot="1" x14ac:dyDescent="0.4">
      <c r="A31" s="1185">
        <v>4</v>
      </c>
      <c r="B31" s="1186" t="s">
        <v>477</v>
      </c>
      <c r="C31" s="1186" t="s">
        <v>478</v>
      </c>
      <c r="D31" s="1187">
        <v>8</v>
      </c>
      <c r="E31" s="1188">
        <v>54</v>
      </c>
      <c r="F31" s="1188">
        <v>0</v>
      </c>
      <c r="G31" s="1189">
        <f t="shared" si="2"/>
        <v>0</v>
      </c>
      <c r="H31" s="1164">
        <f t="shared" si="4"/>
        <v>0</v>
      </c>
      <c r="I31" s="1190"/>
      <c r="J31" s="317"/>
    </row>
    <row r="32" spans="1:10" ht="15" thickBot="1" x14ac:dyDescent="0.4">
      <c r="A32" s="325"/>
      <c r="B32" s="326"/>
      <c r="C32" s="327" t="s">
        <v>25</v>
      </c>
      <c r="D32" s="77"/>
      <c r="E32" s="328"/>
      <c r="F32" s="328"/>
      <c r="G32" s="329" t="s">
        <v>636</v>
      </c>
      <c r="H32" s="1448"/>
      <c r="I32" s="1456">
        <f>AVERAGE(H24:H31)</f>
        <v>0.61342592592592593</v>
      </c>
      <c r="J32" s="317"/>
    </row>
    <row r="33" spans="1:10" ht="15" thickBot="1" x14ac:dyDescent="0.4">
      <c r="A33" s="1191"/>
      <c r="B33" s="1192"/>
      <c r="C33" s="1192"/>
      <c r="D33" s="1193"/>
      <c r="E33" s="1163"/>
      <c r="F33" s="1163"/>
      <c r="G33" s="1182"/>
      <c r="H33" s="1182"/>
      <c r="I33" s="1183"/>
      <c r="J33" s="317"/>
    </row>
    <row r="34" spans="1:10" ht="15" thickBot="1" x14ac:dyDescent="0.4">
      <c r="A34" s="2360" t="s">
        <v>479</v>
      </c>
      <c r="B34" s="2361"/>
      <c r="C34" s="2361"/>
      <c r="D34" s="2361"/>
      <c r="E34" s="2361"/>
      <c r="F34" s="2361"/>
      <c r="G34" s="2361"/>
      <c r="H34" s="2362"/>
      <c r="I34" s="2363"/>
      <c r="J34" s="317"/>
    </row>
    <row r="35" spans="1:10" ht="43.5" x14ac:dyDescent="0.35">
      <c r="A35" s="2364">
        <v>5</v>
      </c>
      <c r="B35" s="2367" t="s">
        <v>480</v>
      </c>
      <c r="C35" s="1192" t="s">
        <v>481</v>
      </c>
      <c r="D35" s="1191">
        <v>1</v>
      </c>
      <c r="E35" s="1163">
        <v>6</v>
      </c>
      <c r="F35" s="1163">
        <v>3</v>
      </c>
      <c r="G35" s="1164">
        <f t="shared" ref="G35:G36" si="5">F35/E35</f>
        <v>0.5</v>
      </c>
      <c r="H35" s="1164">
        <f t="shared" ref="H35:I37" si="6">G35</f>
        <v>0.5</v>
      </c>
      <c r="I35" s="1164">
        <f t="shared" si="6"/>
        <v>0.5</v>
      </c>
      <c r="J35" s="317"/>
    </row>
    <row r="36" spans="1:10" ht="44" thickBot="1" x14ac:dyDescent="0.4">
      <c r="A36" s="2366"/>
      <c r="B36" s="2369"/>
      <c r="C36" s="1186" t="s">
        <v>482</v>
      </c>
      <c r="D36" s="1187">
        <v>2</v>
      </c>
      <c r="E36" s="1189">
        <v>0.3</v>
      </c>
      <c r="F36" s="1189">
        <v>0.25</v>
      </c>
      <c r="G36" s="1189">
        <f t="shared" si="5"/>
        <v>0.83333333333333337</v>
      </c>
      <c r="H36" s="1164">
        <f t="shared" si="6"/>
        <v>0.83333333333333337</v>
      </c>
      <c r="I36" s="1164">
        <f t="shared" si="6"/>
        <v>0.83333333333333337</v>
      </c>
      <c r="J36" s="317" t="s">
        <v>483</v>
      </c>
    </row>
    <row r="37" spans="1:10" ht="15" thickBot="1" x14ac:dyDescent="0.4">
      <c r="A37" s="325"/>
      <c r="B37" s="330"/>
      <c r="C37" s="327" t="s">
        <v>25</v>
      </c>
      <c r="D37" s="77"/>
      <c r="E37" s="329"/>
      <c r="F37" s="329"/>
      <c r="G37" s="329">
        <f>AVERAGE(G35:G36)</f>
        <v>0.66666666666666674</v>
      </c>
      <c r="H37" s="1164">
        <f t="shared" si="6"/>
        <v>0.66666666666666674</v>
      </c>
      <c r="I37" s="1164">
        <f t="shared" si="6"/>
        <v>0.66666666666666674</v>
      </c>
      <c r="J37" s="317"/>
    </row>
    <row r="38" spans="1:10" ht="15" thickBot="1" x14ac:dyDescent="0.4">
      <c r="A38" s="331"/>
      <c r="B38" s="332"/>
      <c r="C38" s="333"/>
      <c r="D38" s="334"/>
      <c r="E38" s="335"/>
      <c r="F38" s="335"/>
      <c r="G38" s="336"/>
      <c r="H38" s="1449"/>
      <c r="I38" s="337"/>
      <c r="J38" s="317"/>
    </row>
    <row r="39" spans="1:10" ht="15" thickBot="1" x14ac:dyDescent="0.4">
      <c r="A39" s="2360" t="s">
        <v>484</v>
      </c>
      <c r="B39" s="2361"/>
      <c r="C39" s="2361"/>
      <c r="D39" s="2361"/>
      <c r="E39" s="2361"/>
      <c r="F39" s="2361"/>
      <c r="G39" s="2361"/>
      <c r="H39" s="2362"/>
      <c r="I39" s="2363"/>
      <c r="J39" s="317"/>
    </row>
    <row r="40" spans="1:10" ht="43.5" x14ac:dyDescent="0.35">
      <c r="A40" s="2364">
        <v>6</v>
      </c>
      <c r="B40" s="2367" t="s">
        <v>485</v>
      </c>
      <c r="C40" s="1192" t="s">
        <v>486</v>
      </c>
      <c r="D40" s="1162">
        <v>1</v>
      </c>
      <c r="E40" s="1164">
        <v>0.9</v>
      </c>
      <c r="F40" s="1164">
        <v>0.8</v>
      </c>
      <c r="G40" s="1164">
        <f t="shared" ref="G40" si="7">F40/E40</f>
        <v>0.88888888888888895</v>
      </c>
      <c r="H40" s="1164">
        <f t="shared" ref="H40:H43" si="8">G40</f>
        <v>0.88888888888888895</v>
      </c>
      <c r="I40" s="1183"/>
      <c r="J40" s="317" t="s">
        <v>1250</v>
      </c>
    </row>
    <row r="41" spans="1:10" ht="29" x14ac:dyDescent="0.35">
      <c r="A41" s="2365"/>
      <c r="B41" s="2368"/>
      <c r="C41" s="1128" t="s">
        <v>1472</v>
      </c>
      <c r="D41" s="1168">
        <v>2</v>
      </c>
      <c r="E41" s="1171"/>
      <c r="F41" s="1171" t="s">
        <v>636</v>
      </c>
      <c r="G41" s="1169" t="s">
        <v>1420</v>
      </c>
      <c r="H41" s="1164" t="str">
        <f t="shared" si="8"/>
        <v>NA</v>
      </c>
      <c r="I41" s="1170" t="s">
        <v>660</v>
      </c>
      <c r="J41" s="317"/>
    </row>
    <row r="42" spans="1:10" ht="58" x14ac:dyDescent="0.35">
      <c r="A42" s="2366"/>
      <c r="B42" s="2369"/>
      <c r="C42" s="1128" t="s">
        <v>1473</v>
      </c>
      <c r="D42" s="1176">
        <v>3</v>
      </c>
      <c r="E42" s="1455">
        <v>0.8</v>
      </c>
      <c r="F42" s="1189">
        <f>6175000/5000000</f>
        <v>1.2350000000000001</v>
      </c>
      <c r="G42" s="1164">
        <f>F42/E42</f>
        <v>1.54375</v>
      </c>
      <c r="H42" s="1164">
        <v>1.01</v>
      </c>
      <c r="I42" s="1186" t="s">
        <v>1474</v>
      </c>
      <c r="J42" s="317"/>
    </row>
    <row r="43" spans="1:10" ht="44" thickBot="1" x14ac:dyDescent="0.4">
      <c r="A43" s="2366"/>
      <c r="B43" s="2369"/>
      <c r="C43" s="1186" t="s">
        <v>487</v>
      </c>
      <c r="D43" s="1176">
        <v>4</v>
      </c>
      <c r="E43" s="1189">
        <v>0.04</v>
      </c>
      <c r="F43" s="1189">
        <v>0.02</v>
      </c>
      <c r="G43" s="1182">
        <f>F43/E43</f>
        <v>0.5</v>
      </c>
      <c r="H43" s="1164">
        <f t="shared" si="8"/>
        <v>0.5</v>
      </c>
      <c r="I43" s="1190"/>
      <c r="J43" s="317" t="s">
        <v>488</v>
      </c>
    </row>
    <row r="44" spans="1:10" ht="15" thickBot="1" x14ac:dyDescent="0.4">
      <c r="A44" s="338"/>
      <c r="B44" s="339"/>
      <c r="C44" s="327" t="s">
        <v>25</v>
      </c>
      <c r="D44" s="340"/>
      <c r="E44" s="341"/>
      <c r="F44" s="341"/>
      <c r="G44" s="329" t="s">
        <v>636</v>
      </c>
      <c r="H44" s="1448"/>
      <c r="I44" s="1454">
        <f>AVERAGE(H40:H43)</f>
        <v>0.79962962962962969</v>
      </c>
      <c r="J44" s="317"/>
    </row>
    <row r="45" spans="1:10" ht="15" thickBot="1" x14ac:dyDescent="0.4">
      <c r="A45" s="338"/>
      <c r="B45" s="339"/>
      <c r="C45" s="327" t="s">
        <v>1087</v>
      </c>
      <c r="D45" s="340"/>
      <c r="E45" s="341"/>
      <c r="F45" s="341"/>
      <c r="G45" s="329" t="s">
        <v>636</v>
      </c>
      <c r="H45" s="1448">
        <f>AVERAGE(H5:H44)</f>
        <v>0.65038751714677645</v>
      </c>
      <c r="I45" s="1454" t="s">
        <v>636</v>
      </c>
    </row>
  </sheetData>
  <mergeCells count="17">
    <mergeCell ref="A40:A43"/>
    <mergeCell ref="B40:B43"/>
    <mergeCell ref="A24:A30"/>
    <mergeCell ref="B24:B30"/>
    <mergeCell ref="A34:I34"/>
    <mergeCell ref="A35:A36"/>
    <mergeCell ref="B35:B36"/>
    <mergeCell ref="A23:I23"/>
    <mergeCell ref="A5:A10"/>
    <mergeCell ref="B5:B10"/>
    <mergeCell ref="A13:I13"/>
    <mergeCell ref="A39:I39"/>
    <mergeCell ref="A1:I1"/>
    <mergeCell ref="A2:I2"/>
    <mergeCell ref="A4:I4"/>
    <mergeCell ref="A14:A20"/>
    <mergeCell ref="B14:B20"/>
  </mergeCells>
  <printOptions horizontalCentered="1"/>
  <pageMargins left="0.51181102362204722" right="0.51181102362204722" top="0.55118110236220474" bottom="0.55118110236220474" header="0.31496062992125984" footer="0.31496062992125984"/>
  <pageSetup scale="52"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0F29-15F2-47A5-93A4-B63CF0DBD197}">
  <sheetPr>
    <tabColor rgb="FFFFFF00"/>
  </sheetPr>
  <dimension ref="A1:J44"/>
  <sheetViews>
    <sheetView view="pageBreakPreview" topLeftCell="A36" zoomScale="60" zoomScaleNormal="100" workbookViewId="0">
      <selection activeCell="E12" sqref="E12"/>
    </sheetView>
  </sheetViews>
  <sheetFormatPr defaultRowHeight="14.5" x14ac:dyDescent="0.35"/>
  <cols>
    <col min="1" max="1" width="7.54296875" customWidth="1"/>
    <col min="2" max="2" width="39.1796875" customWidth="1"/>
    <col min="3" max="3" width="37.1796875" customWidth="1"/>
    <col min="4" max="4" width="12" customWidth="1"/>
    <col min="5" max="5" width="12.453125" customWidth="1"/>
    <col min="6" max="6" width="11.26953125" customWidth="1"/>
    <col min="7" max="8" width="13.7265625" customWidth="1"/>
    <col min="9" max="9" width="43" customWidth="1"/>
    <col min="10" max="10" width="61.453125" customWidth="1"/>
  </cols>
  <sheetData>
    <row r="1" spans="1:10" ht="21" x14ac:dyDescent="0.5">
      <c r="A1" s="2374" t="s">
        <v>387</v>
      </c>
      <c r="B1" s="2374"/>
      <c r="C1" s="2374"/>
      <c r="D1" s="2374"/>
      <c r="E1" s="2374"/>
      <c r="F1" s="2374"/>
      <c r="G1" s="2374"/>
      <c r="H1" s="2374"/>
      <c r="I1" s="2374"/>
    </row>
    <row r="2" spans="1:10" ht="19" thickBot="1" x14ac:dyDescent="0.5">
      <c r="A2" s="2068" t="s">
        <v>1029</v>
      </c>
      <c r="B2" s="2068"/>
      <c r="C2" s="2068"/>
      <c r="D2" s="2068"/>
      <c r="E2" s="2068"/>
      <c r="F2" s="2068"/>
      <c r="G2" s="2068"/>
      <c r="H2" s="2068"/>
      <c r="I2" s="2068"/>
      <c r="J2" s="884"/>
    </row>
    <row r="3" spans="1:10" ht="16" thickBot="1" x14ac:dyDescent="0.4">
      <c r="A3" s="2375" t="s">
        <v>388</v>
      </c>
      <c r="B3" s="2376"/>
      <c r="C3" s="2376"/>
      <c r="D3" s="2376"/>
      <c r="E3" s="2376"/>
      <c r="F3" s="2376"/>
      <c r="G3" s="2376"/>
      <c r="H3" s="2376"/>
      <c r="I3" s="2377"/>
    </row>
    <row r="4" spans="1:10" ht="31.5" thickBot="1" x14ac:dyDescent="0.4">
      <c r="A4" s="1460" t="s">
        <v>390</v>
      </c>
      <c r="B4" s="1461" t="s">
        <v>391</v>
      </c>
      <c r="C4" s="1461" t="s">
        <v>4</v>
      </c>
      <c r="D4" s="1462" t="s">
        <v>211</v>
      </c>
      <c r="E4" s="1463" t="s">
        <v>278</v>
      </c>
      <c r="F4" s="1463" t="s">
        <v>392</v>
      </c>
      <c r="G4" s="1464" t="s">
        <v>25</v>
      </c>
      <c r="H4" s="1476" t="s">
        <v>1418</v>
      </c>
      <c r="I4" s="1465" t="s">
        <v>279</v>
      </c>
    </row>
    <row r="5" spans="1:10" ht="18.5" x14ac:dyDescent="0.45">
      <c r="A5" s="2378" t="s">
        <v>106</v>
      </c>
      <c r="B5" s="2379"/>
      <c r="C5" s="2379"/>
      <c r="D5" s="2379"/>
      <c r="E5" s="2379"/>
      <c r="F5" s="2379"/>
      <c r="G5" s="2379"/>
      <c r="H5" s="2379"/>
      <c r="I5" s="2380"/>
    </row>
    <row r="6" spans="1:10" ht="15.5" x14ac:dyDescent="0.35">
      <c r="A6" s="2381" t="s">
        <v>389</v>
      </c>
      <c r="B6" s="2381"/>
      <c r="C6" s="2381"/>
      <c r="D6" s="2381"/>
      <c r="E6" s="2381"/>
      <c r="F6" s="2381"/>
      <c r="G6" s="2381"/>
      <c r="H6" s="2381"/>
      <c r="I6" s="2381"/>
    </row>
    <row r="8" spans="1:10" ht="108.5" x14ac:dyDescent="0.35">
      <c r="A8" s="1466">
        <v>1</v>
      </c>
      <c r="B8" s="250" t="s">
        <v>393</v>
      </c>
      <c r="C8" s="251" t="s">
        <v>394</v>
      </c>
      <c r="D8" s="252">
        <v>2</v>
      </c>
      <c r="E8" s="253">
        <v>2</v>
      </c>
      <c r="F8" s="254">
        <v>2</v>
      </c>
      <c r="G8" s="255">
        <f>F8/E8</f>
        <v>1</v>
      </c>
      <c r="H8" s="1474">
        <f>G8</f>
        <v>1</v>
      </c>
      <c r="I8" s="256" t="s">
        <v>1206</v>
      </c>
    </row>
    <row r="9" spans="1:10" ht="15.5" x14ac:dyDescent="0.35">
      <c r="A9" s="1468"/>
      <c r="B9" s="1469"/>
      <c r="C9" s="1469"/>
      <c r="D9" s="1470"/>
      <c r="E9" s="1471"/>
      <c r="F9" s="1472" t="s">
        <v>366</v>
      </c>
      <c r="G9" s="1473"/>
      <c r="H9" s="1473"/>
      <c r="I9" s="1477">
        <f>AVERAGE(H8)</f>
        <v>1</v>
      </c>
    </row>
    <row r="10" spans="1:10" ht="16" thickBot="1" x14ac:dyDescent="0.4">
      <c r="A10" s="2371" t="s">
        <v>395</v>
      </c>
      <c r="B10" s="2372"/>
      <c r="C10" s="2372"/>
      <c r="D10" s="2372"/>
      <c r="E10" s="2372"/>
      <c r="F10" s="2372"/>
      <c r="G10" s="2372"/>
      <c r="H10" s="2372"/>
      <c r="I10" s="2373"/>
    </row>
    <row r="11" spans="1:10" ht="139.5" x14ac:dyDescent="0.35">
      <c r="A11" s="1480">
        <v>2</v>
      </c>
      <c r="B11" s="1481" t="s">
        <v>396</v>
      </c>
      <c r="C11" s="1482" t="s">
        <v>397</v>
      </c>
      <c r="D11" s="1483">
        <v>2</v>
      </c>
      <c r="E11" s="1478">
        <v>0.3</v>
      </c>
      <c r="F11" s="1479">
        <v>0.3</v>
      </c>
      <c r="G11" s="1484">
        <f>F11/E11</f>
        <v>1</v>
      </c>
      <c r="H11" s="1474">
        <f>G11</f>
        <v>1</v>
      </c>
      <c r="I11" s="256" t="s">
        <v>1207</v>
      </c>
    </row>
    <row r="12" spans="1:10" ht="15.5" x14ac:dyDescent="0.35">
      <c r="A12" s="1485"/>
      <c r="B12" s="1486"/>
      <c r="C12" s="1487"/>
      <c r="D12" s="1488"/>
      <c r="E12" s="1489"/>
      <c r="F12" s="1490"/>
      <c r="G12" s="1491"/>
      <c r="H12" s="1467"/>
      <c r="I12" s="1492">
        <f>AVERAGE(H11)</f>
        <v>1</v>
      </c>
    </row>
    <row r="13" spans="1:10" ht="16" thickBot="1" x14ac:dyDescent="0.4">
      <c r="A13" s="2371" t="s">
        <v>398</v>
      </c>
      <c r="B13" s="2372"/>
      <c r="C13" s="2372"/>
      <c r="D13" s="2372"/>
      <c r="E13" s="2372"/>
      <c r="F13" s="2372"/>
      <c r="G13" s="2372"/>
      <c r="H13" s="2372"/>
      <c r="I13" s="2373"/>
    </row>
    <row r="14" spans="1:10" ht="62" x14ac:dyDescent="0.35">
      <c r="A14" s="2382">
        <v>3</v>
      </c>
      <c r="B14" s="2384" t="s">
        <v>399</v>
      </c>
      <c r="C14" s="257" t="s">
        <v>400</v>
      </c>
      <c r="D14" s="258">
        <v>3</v>
      </c>
      <c r="E14" s="260">
        <v>33.9</v>
      </c>
      <c r="F14" s="261">
        <v>20</v>
      </c>
      <c r="G14" s="259">
        <f>F14/E14</f>
        <v>0.58997050147492625</v>
      </c>
      <c r="H14" s="1474">
        <f t="shared" ref="H14:H15" si="0">G14</f>
        <v>0.58997050147492625</v>
      </c>
      <c r="I14" s="1118" t="s">
        <v>1208</v>
      </c>
    </row>
    <row r="15" spans="1:10" ht="232.5" x14ac:dyDescent="0.35">
      <c r="A15" s="2383"/>
      <c r="B15" s="2385"/>
      <c r="C15" s="1493" t="s">
        <v>401</v>
      </c>
      <c r="D15" s="1494">
        <v>4</v>
      </c>
      <c r="E15" s="1119">
        <v>40</v>
      </c>
      <c r="F15" s="1120">
        <v>10</v>
      </c>
      <c r="G15" s="1495">
        <f>F15/E15</f>
        <v>0.25</v>
      </c>
      <c r="H15" s="1474">
        <f t="shared" si="0"/>
        <v>0.25</v>
      </c>
      <c r="I15" s="1121" t="s">
        <v>402</v>
      </c>
      <c r="J15" s="264"/>
    </row>
    <row r="16" spans="1:10" ht="15.5" x14ac:dyDescent="0.35">
      <c r="A16" s="1468"/>
      <c r="B16" s="1469"/>
      <c r="C16" s="1496"/>
      <c r="D16" s="1497"/>
      <c r="E16" s="1498"/>
      <c r="F16" s="1499"/>
      <c r="G16" s="1500"/>
      <c r="H16" s="1473"/>
      <c r="I16" s="1501">
        <f>AVERAGE(H14:H15)</f>
        <v>0.41998525073746312</v>
      </c>
      <c r="J16" s="264"/>
    </row>
    <row r="17" spans="1:10" ht="16" thickBot="1" x14ac:dyDescent="0.4">
      <c r="A17" s="2371" t="s">
        <v>403</v>
      </c>
      <c r="B17" s="2372"/>
      <c r="C17" s="2372"/>
      <c r="D17" s="2372"/>
      <c r="E17" s="2372"/>
      <c r="F17" s="2372"/>
      <c r="G17" s="2372"/>
      <c r="H17" s="2372"/>
      <c r="I17" s="2373"/>
      <c r="J17" s="264"/>
    </row>
    <row r="18" spans="1:10" ht="31" x14ac:dyDescent="0.35">
      <c r="A18" s="265">
        <v>4</v>
      </c>
      <c r="B18" s="266" t="s">
        <v>404</v>
      </c>
      <c r="C18" s="267" t="s">
        <v>405</v>
      </c>
      <c r="D18" s="268">
        <v>10</v>
      </c>
      <c r="E18" s="269">
        <v>50</v>
      </c>
      <c r="F18" s="270">
        <v>0</v>
      </c>
      <c r="G18" s="271">
        <v>0</v>
      </c>
      <c r="H18" s="271">
        <f t="shared" ref="H18:H21" si="1">G18</f>
        <v>0</v>
      </c>
      <c r="I18" s="272" t="s">
        <v>406</v>
      </c>
      <c r="J18" s="264"/>
    </row>
    <row r="19" spans="1:10" ht="93" x14ac:dyDescent="0.35">
      <c r="A19" s="2386">
        <v>5</v>
      </c>
      <c r="B19" s="2388" t="s">
        <v>407</v>
      </c>
      <c r="C19" s="273" t="s">
        <v>408</v>
      </c>
      <c r="D19" s="274">
        <v>11</v>
      </c>
      <c r="E19" s="275">
        <v>5000</v>
      </c>
      <c r="F19" s="276">
        <v>3588</v>
      </c>
      <c r="G19" s="277">
        <f>F19/E19</f>
        <v>0.71760000000000002</v>
      </c>
      <c r="H19" s="277">
        <f t="shared" si="1"/>
        <v>0.71760000000000002</v>
      </c>
      <c r="I19" s="278" t="s">
        <v>409</v>
      </c>
    </row>
    <row r="20" spans="1:10" ht="31" x14ac:dyDescent="0.35">
      <c r="A20" s="2387"/>
      <c r="B20" s="2388"/>
      <c r="C20" s="273" t="s">
        <v>410</v>
      </c>
      <c r="D20" s="1504">
        <v>12</v>
      </c>
      <c r="E20" s="279">
        <v>3000</v>
      </c>
      <c r="F20" s="276">
        <v>5800</v>
      </c>
      <c r="G20" s="277">
        <f t="shared" ref="G20:G42" si="2">F20/E20</f>
        <v>1.9333333333333333</v>
      </c>
      <c r="H20" s="277">
        <v>1.01</v>
      </c>
      <c r="I20" s="278" t="s">
        <v>411</v>
      </c>
    </row>
    <row r="21" spans="1:10" ht="31" x14ac:dyDescent="0.35">
      <c r="A21" s="2387"/>
      <c r="B21" s="2389"/>
      <c r="C21" s="1502" t="s">
        <v>412</v>
      </c>
      <c r="D21" s="1504">
        <v>13</v>
      </c>
      <c r="E21" s="1503">
        <v>800</v>
      </c>
      <c r="F21" s="1506">
        <v>20</v>
      </c>
      <c r="G21" s="1507">
        <f t="shared" si="2"/>
        <v>2.5000000000000001E-2</v>
      </c>
      <c r="H21" s="1507">
        <f t="shared" si="1"/>
        <v>2.5000000000000001E-2</v>
      </c>
      <c r="I21" s="1508" t="s">
        <v>413</v>
      </c>
    </row>
    <row r="22" spans="1:10" x14ac:dyDescent="0.35">
      <c r="A22" s="1509"/>
      <c r="B22" s="1509"/>
      <c r="C22" s="1510" t="s">
        <v>25</v>
      </c>
      <c r="D22" s="1509"/>
      <c r="E22" s="1509"/>
      <c r="F22" s="1509"/>
      <c r="G22" s="1511" t="s">
        <v>636</v>
      </c>
      <c r="H22" s="1511"/>
      <c r="I22" s="1512">
        <f>AVERAGE(H18:H21)</f>
        <v>0.43814999999999998</v>
      </c>
    </row>
    <row r="23" spans="1:10" ht="16" thickBot="1" x14ac:dyDescent="0.4">
      <c r="A23" s="2398" t="s">
        <v>414</v>
      </c>
      <c r="B23" s="2399"/>
      <c r="C23" s="2399"/>
      <c r="D23" s="2399"/>
      <c r="E23" s="2399"/>
      <c r="F23" s="2399"/>
      <c r="G23" s="2399"/>
      <c r="H23" s="2399"/>
      <c r="I23" s="2400"/>
    </row>
    <row r="24" spans="1:10" ht="62" x14ac:dyDescent="0.35">
      <c r="A24" s="283">
        <v>6</v>
      </c>
      <c r="B24" s="284" t="s">
        <v>415</v>
      </c>
      <c r="C24" s="251" t="s">
        <v>416</v>
      </c>
      <c r="D24" s="285">
        <v>14</v>
      </c>
      <c r="E24" s="286">
        <v>500</v>
      </c>
      <c r="F24" s="287">
        <v>3288</v>
      </c>
      <c r="G24" s="288">
        <f t="shared" si="2"/>
        <v>6.5759999999999996</v>
      </c>
      <c r="H24" s="288">
        <v>1.01</v>
      </c>
      <c r="I24" s="289" t="s">
        <v>417</v>
      </c>
    </row>
    <row r="25" spans="1:10" ht="15.5" x14ac:dyDescent="0.35">
      <c r="A25" s="1468"/>
      <c r="B25" s="1513"/>
      <c r="C25" s="1469"/>
      <c r="D25" s="1505"/>
      <c r="E25" s="1514"/>
      <c r="F25" s="1515"/>
      <c r="G25" s="1516"/>
      <c r="H25" s="1516"/>
      <c r="I25" s="1517">
        <f>AVERAGE(H24)</f>
        <v>1.01</v>
      </c>
    </row>
    <row r="26" spans="1:10" ht="16" thickBot="1" x14ac:dyDescent="0.4">
      <c r="A26" s="2371" t="s">
        <v>418</v>
      </c>
      <c r="B26" s="2372"/>
      <c r="C26" s="2372"/>
      <c r="D26" s="2372"/>
      <c r="E26" s="2372"/>
      <c r="F26" s="2372"/>
      <c r="G26" s="2372"/>
      <c r="H26" s="2372"/>
      <c r="I26" s="2373"/>
      <c r="J26" t="s">
        <v>419</v>
      </c>
    </row>
    <row r="27" spans="1:10" ht="31" x14ac:dyDescent="0.35">
      <c r="A27" s="290">
        <v>7</v>
      </c>
      <c r="B27" s="291" t="s">
        <v>420</v>
      </c>
      <c r="C27" s="291" t="s">
        <v>421</v>
      </c>
      <c r="D27" s="274">
        <v>15</v>
      </c>
      <c r="E27" s="292">
        <v>1000</v>
      </c>
      <c r="F27" s="293">
        <v>55</v>
      </c>
      <c r="G27" s="294">
        <f t="shared" si="2"/>
        <v>5.5E-2</v>
      </c>
      <c r="H27" s="1474">
        <f t="shared" ref="H27:H29" si="3">G27</f>
        <v>5.5E-2</v>
      </c>
      <c r="I27" s="295" t="s">
        <v>422</v>
      </c>
    </row>
    <row r="28" spans="1:10" ht="31" x14ac:dyDescent="0.35">
      <c r="A28" s="296">
        <v>8</v>
      </c>
      <c r="B28" s="262" t="s">
        <v>423</v>
      </c>
      <c r="C28" s="262" t="s">
        <v>424</v>
      </c>
      <c r="D28" s="263">
        <v>16</v>
      </c>
      <c r="E28" s="280">
        <v>2000</v>
      </c>
      <c r="F28" s="281">
        <v>0</v>
      </c>
      <c r="G28" s="297">
        <f t="shared" si="2"/>
        <v>0</v>
      </c>
      <c r="H28" s="1474">
        <f t="shared" si="3"/>
        <v>0</v>
      </c>
      <c r="I28" s="298" t="s">
        <v>406</v>
      </c>
    </row>
    <row r="29" spans="1:10" ht="15.5" x14ac:dyDescent="0.35">
      <c r="A29" s="1469"/>
      <c r="B29" s="1469"/>
      <c r="C29" s="1522" t="s">
        <v>25</v>
      </c>
      <c r="D29" s="1505"/>
      <c r="E29" s="1514"/>
      <c r="F29" s="1523"/>
      <c r="G29" s="1524" t="s">
        <v>636</v>
      </c>
      <c r="H29" s="1473" t="str">
        <f t="shared" si="3"/>
        <v xml:space="preserve"> </v>
      </c>
      <c r="I29" s="1517">
        <f>AVERAGE(H27:H29)</f>
        <v>2.75E-2</v>
      </c>
    </row>
    <row r="30" spans="1:10" ht="16" thickBot="1" x14ac:dyDescent="0.4">
      <c r="A30" s="2371" t="s">
        <v>425</v>
      </c>
      <c r="B30" s="2372"/>
      <c r="C30" s="2372"/>
      <c r="D30" s="2372"/>
      <c r="E30" s="2372"/>
      <c r="F30" s="2372"/>
      <c r="G30" s="2372"/>
      <c r="H30" s="2372"/>
      <c r="I30" s="2373"/>
    </row>
    <row r="31" spans="1:10" ht="58" x14ac:dyDescent="0.35">
      <c r="A31" s="1457">
        <v>9</v>
      </c>
      <c r="B31" s="1458" t="s">
        <v>426</v>
      </c>
      <c r="C31" s="299" t="s">
        <v>427</v>
      </c>
      <c r="D31" s="300">
        <v>17</v>
      </c>
      <c r="E31" s="1540">
        <v>1000</v>
      </c>
      <c r="F31" s="287">
        <v>6236</v>
      </c>
      <c r="G31" s="1543">
        <f>F31/E31</f>
        <v>6.2359999999999998</v>
      </c>
      <c r="H31" s="1545">
        <v>1.01</v>
      </c>
      <c r="I31" s="301" t="s">
        <v>428</v>
      </c>
    </row>
    <row r="32" spans="1:10" ht="31" x14ac:dyDescent="0.35">
      <c r="A32" s="1538">
        <v>10</v>
      </c>
      <c r="B32" s="1539" t="s">
        <v>429</v>
      </c>
      <c r="C32" s="299" t="s">
        <v>427</v>
      </c>
      <c r="D32" s="274">
        <v>18</v>
      </c>
      <c r="E32" s="1541">
        <v>500</v>
      </c>
      <c r="F32" s="1542">
        <v>200</v>
      </c>
      <c r="G32" s="1544">
        <f>F32/E32</f>
        <v>0.4</v>
      </c>
      <c r="H32" s="1467">
        <f t="shared" ref="H32:H36" si="4">G32</f>
        <v>0.4</v>
      </c>
      <c r="I32" s="302" t="s">
        <v>1476</v>
      </c>
    </row>
    <row r="33" spans="1:10" ht="15.5" x14ac:dyDescent="0.35">
      <c r="A33" s="2390">
        <v>11</v>
      </c>
      <c r="B33" s="2384" t="s">
        <v>430</v>
      </c>
      <c r="C33" s="303" t="s">
        <v>431</v>
      </c>
      <c r="D33" s="274">
        <v>19</v>
      </c>
      <c r="E33" s="292">
        <v>55</v>
      </c>
      <c r="F33" s="281">
        <v>52</v>
      </c>
      <c r="G33" s="1544">
        <f>E33/F33</f>
        <v>1.0576923076923077</v>
      </c>
      <c r="H33" s="1467">
        <v>1.01</v>
      </c>
      <c r="I33" s="302"/>
    </row>
    <row r="34" spans="1:10" ht="15.5" x14ac:dyDescent="0.35">
      <c r="A34" s="2391"/>
      <c r="B34" s="2393"/>
      <c r="C34" s="303" t="s">
        <v>432</v>
      </c>
      <c r="D34" s="274">
        <v>20</v>
      </c>
      <c r="E34" s="304">
        <v>32</v>
      </c>
      <c r="F34" s="293">
        <v>32</v>
      </c>
      <c r="G34" s="1544">
        <f>E34/F34</f>
        <v>1</v>
      </c>
      <c r="H34" s="1467">
        <f t="shared" si="4"/>
        <v>1</v>
      </c>
      <c r="I34" s="302"/>
    </row>
    <row r="35" spans="1:10" ht="170.5" x14ac:dyDescent="0.35">
      <c r="A35" s="2391"/>
      <c r="B35" s="2393"/>
      <c r="C35" s="303" t="s">
        <v>433</v>
      </c>
      <c r="D35" s="274">
        <v>21</v>
      </c>
      <c r="E35" s="292">
        <v>80</v>
      </c>
      <c r="F35" s="293">
        <v>80</v>
      </c>
      <c r="G35" s="1544">
        <f>E35/F35</f>
        <v>1</v>
      </c>
      <c r="H35" s="1545">
        <f>G35</f>
        <v>1</v>
      </c>
      <c r="I35" s="305" t="s">
        <v>434</v>
      </c>
    </row>
    <row r="36" spans="1:10" ht="16" thickBot="1" x14ac:dyDescent="0.4">
      <c r="A36" s="2392"/>
      <c r="B36" s="2394"/>
      <c r="C36" s="306" t="s">
        <v>435</v>
      </c>
      <c r="D36" s="263">
        <v>22</v>
      </c>
      <c r="E36" s="280">
        <v>40</v>
      </c>
      <c r="F36" s="281">
        <v>40</v>
      </c>
      <c r="G36" s="294">
        <f>E36/F36</f>
        <v>1</v>
      </c>
      <c r="H36" s="1474">
        <f t="shared" si="4"/>
        <v>1</v>
      </c>
      <c r="I36" s="302"/>
    </row>
    <row r="37" spans="1:10" ht="16" thickBot="1" x14ac:dyDescent="0.4">
      <c r="A37" s="1525"/>
      <c r="B37" s="1526"/>
      <c r="C37" s="1527" t="s">
        <v>25</v>
      </c>
      <c r="D37" s="1518"/>
      <c r="E37" s="1528"/>
      <c r="F37" s="1519"/>
      <c r="G37" s="1520"/>
      <c r="H37" s="1521"/>
      <c r="I37" s="1529">
        <f>AVERAGE(H31:H36)</f>
        <v>0.90333333333333332</v>
      </c>
    </row>
    <row r="38" spans="1:10" ht="16" thickBot="1" x14ac:dyDescent="0.4">
      <c r="A38" s="2395" t="s">
        <v>436</v>
      </c>
      <c r="B38" s="2396"/>
      <c r="C38" s="2396"/>
      <c r="D38" s="2396"/>
      <c r="E38" s="2396"/>
      <c r="F38" s="2396"/>
      <c r="G38" s="2396"/>
      <c r="H38" s="2396"/>
      <c r="I38" s="2397"/>
    </row>
    <row r="39" spans="1:10" ht="116" x14ac:dyDescent="0.35">
      <c r="A39" s="283">
        <v>12</v>
      </c>
      <c r="B39" s="251" t="s">
        <v>437</v>
      </c>
      <c r="C39" s="284" t="s">
        <v>438</v>
      </c>
      <c r="D39" s="252">
        <v>23</v>
      </c>
      <c r="E39" s="307">
        <v>10</v>
      </c>
      <c r="F39" s="254">
        <v>10</v>
      </c>
      <c r="G39" s="255">
        <f t="shared" si="2"/>
        <v>1</v>
      </c>
      <c r="H39" s="1459">
        <f>G39</f>
        <v>1</v>
      </c>
      <c r="I39" s="308" t="s">
        <v>439</v>
      </c>
    </row>
    <row r="40" spans="1:10" ht="15.5" x14ac:dyDescent="0.35">
      <c r="A40" s="1469"/>
      <c r="B40" s="1469"/>
      <c r="C40" s="1469"/>
      <c r="D40" s="1532"/>
      <c r="E40" s="1533"/>
      <c r="F40" s="1534"/>
      <c r="G40" s="1535"/>
      <c r="H40" s="1535"/>
      <c r="I40" s="1531">
        <f>AVERAGE(H39)</f>
        <v>1</v>
      </c>
    </row>
    <row r="41" spans="1:10" ht="16" thickBot="1" x14ac:dyDescent="0.4">
      <c r="A41" s="2395" t="s">
        <v>440</v>
      </c>
      <c r="B41" s="2396"/>
      <c r="C41" s="2396"/>
      <c r="D41" s="2396"/>
      <c r="E41" s="2396"/>
      <c r="F41" s="2396"/>
      <c r="G41" s="2396"/>
      <c r="H41" s="2396"/>
      <c r="I41" s="2397"/>
    </row>
    <row r="42" spans="1:10" ht="93.5" thickBot="1" x14ac:dyDescent="0.4">
      <c r="A42" s="309">
        <v>13</v>
      </c>
      <c r="B42" s="310" t="s">
        <v>441</v>
      </c>
      <c r="C42" s="311" t="s">
        <v>442</v>
      </c>
      <c r="D42" s="312">
        <v>24</v>
      </c>
      <c r="E42" s="313">
        <v>2</v>
      </c>
      <c r="F42" s="314">
        <v>6</v>
      </c>
      <c r="G42" s="315">
        <f t="shared" si="2"/>
        <v>3</v>
      </c>
      <c r="H42" s="1475">
        <v>1.01</v>
      </c>
      <c r="I42" s="316" t="s">
        <v>443</v>
      </c>
    </row>
    <row r="43" spans="1:10" ht="15.5" x14ac:dyDescent="0.35">
      <c r="A43" s="1469"/>
      <c r="B43" s="1469"/>
      <c r="C43" s="1469"/>
      <c r="D43" s="1532"/>
      <c r="E43" s="1533"/>
      <c r="F43" s="1534"/>
      <c r="G43" s="1535"/>
      <c r="H43" s="1535"/>
      <c r="I43" s="1531">
        <f>AVERAGE(H42)</f>
        <v>1.01</v>
      </c>
    </row>
    <row r="44" spans="1:10" ht="15.5" x14ac:dyDescent="0.35">
      <c r="A44" s="1469"/>
      <c r="B44" s="1469"/>
      <c r="C44" s="1469"/>
      <c r="D44" s="1532"/>
      <c r="E44" s="1533"/>
      <c r="F44" s="1536" t="s">
        <v>1087</v>
      </c>
      <c r="G44" s="1535"/>
      <c r="H44" s="1535">
        <f>AVERAGE(H8:H42)</f>
        <v>0.68881950007762771</v>
      </c>
      <c r="I44" s="1530"/>
      <c r="J44" s="1537"/>
    </row>
  </sheetData>
  <mergeCells count="19">
    <mergeCell ref="A33:A36"/>
    <mergeCell ref="B33:B36"/>
    <mergeCell ref="A38:I38"/>
    <mergeCell ref="A41:I41"/>
    <mergeCell ref="A23:I23"/>
    <mergeCell ref="A26:I26"/>
    <mergeCell ref="A30:I30"/>
    <mergeCell ref="A13:I13"/>
    <mergeCell ref="A14:A15"/>
    <mergeCell ref="B14:B15"/>
    <mergeCell ref="A17:I17"/>
    <mergeCell ref="A19:A21"/>
    <mergeCell ref="B19:B21"/>
    <mergeCell ref="A10:I10"/>
    <mergeCell ref="A1:I1"/>
    <mergeCell ref="A2:I2"/>
    <mergeCell ref="A3:I3"/>
    <mergeCell ref="A5:I5"/>
    <mergeCell ref="A6:I6"/>
  </mergeCells>
  <printOptions horizontalCentered="1"/>
  <pageMargins left="0.51181102362204722" right="0.51181102362204722" top="0.35433070866141736" bottom="0.35433070866141736" header="0.31496062992125984" footer="0.31496062992125984"/>
  <pageSetup scale="64"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FF60-2700-40F2-905C-89D038AE1EFB}">
  <sheetPr>
    <tabColor rgb="FFC00000"/>
  </sheetPr>
  <dimension ref="A1:O50"/>
  <sheetViews>
    <sheetView topLeftCell="B34" zoomScale="95" zoomScaleNormal="95" workbookViewId="0">
      <selection activeCell="K42" sqref="K42"/>
    </sheetView>
  </sheetViews>
  <sheetFormatPr defaultRowHeight="14.5" x14ac:dyDescent="0.35"/>
  <cols>
    <col min="2" max="2" width="24.1796875" customWidth="1"/>
    <col min="3" max="3" width="26.26953125" customWidth="1"/>
    <col min="4" max="4" width="10.7265625" customWidth="1"/>
    <col min="5" max="5" width="11.1796875" customWidth="1"/>
    <col min="6" max="6" width="10.1796875" customWidth="1"/>
    <col min="7" max="8" width="12.7265625" customWidth="1"/>
    <col min="9" max="9" width="31.1796875" customWidth="1"/>
    <col min="10" max="10" width="24.54296875" customWidth="1"/>
  </cols>
  <sheetData>
    <row r="1" spans="1:15" ht="17" x14ac:dyDescent="0.35">
      <c r="A1" s="2404" t="s">
        <v>313</v>
      </c>
      <c r="B1" s="2404"/>
      <c r="C1" s="2404"/>
      <c r="D1" s="2404"/>
      <c r="E1" s="2404"/>
      <c r="F1" s="2404"/>
      <c r="G1" s="2404"/>
      <c r="H1" s="2404"/>
      <c r="I1" s="2404"/>
    </row>
    <row r="2" spans="1:15" ht="19" thickBot="1" x14ac:dyDescent="0.5">
      <c r="A2" s="2068" t="s">
        <v>1029</v>
      </c>
      <c r="B2" s="2068"/>
      <c r="C2" s="2068"/>
      <c r="D2" s="2068"/>
      <c r="E2" s="2068"/>
      <c r="F2" s="2068"/>
      <c r="G2" s="2068"/>
      <c r="H2" s="2068"/>
      <c r="I2" s="2068"/>
    </row>
    <row r="3" spans="1:15" ht="29.5" thickBot="1" x14ac:dyDescent="0.4">
      <c r="A3" s="221" t="s">
        <v>315</v>
      </c>
      <c r="B3" s="222" t="s">
        <v>316</v>
      </c>
      <c r="C3" s="223" t="s">
        <v>317</v>
      </c>
      <c r="D3" s="224" t="s">
        <v>211</v>
      </c>
      <c r="E3" s="223" t="s">
        <v>6</v>
      </c>
      <c r="F3" s="225" t="s">
        <v>318</v>
      </c>
      <c r="G3" s="223" t="s">
        <v>25</v>
      </c>
      <c r="H3" s="1547" t="s">
        <v>1418</v>
      </c>
      <c r="I3" s="226" t="s">
        <v>279</v>
      </c>
      <c r="L3">
        <v>2024</v>
      </c>
      <c r="M3" s="282">
        <v>125620</v>
      </c>
      <c r="N3">
        <v>2750</v>
      </c>
      <c r="O3" s="1115">
        <f>M3/N3</f>
        <v>45.68</v>
      </c>
    </row>
    <row r="4" spans="1:15" ht="15" thickBot="1" x14ac:dyDescent="0.4">
      <c r="A4" s="217" t="s">
        <v>314</v>
      </c>
      <c r="B4" s="218"/>
      <c r="C4" s="218"/>
      <c r="D4" s="218"/>
      <c r="E4" s="218"/>
      <c r="F4" s="219"/>
      <c r="G4" s="218"/>
      <c r="H4" s="218"/>
      <c r="I4" s="220"/>
      <c r="M4" t="s">
        <v>1193</v>
      </c>
      <c r="N4" t="s">
        <v>1194</v>
      </c>
    </row>
    <row r="6" spans="1:15" ht="203" x14ac:dyDescent="0.35">
      <c r="A6" s="1548">
        <v>1</v>
      </c>
      <c r="B6" s="1549" t="s">
        <v>319</v>
      </c>
      <c r="C6" s="1550" t="s">
        <v>320</v>
      </c>
      <c r="D6" s="1548">
        <v>1</v>
      </c>
      <c r="E6" s="1548">
        <v>50</v>
      </c>
      <c r="F6" s="1548">
        <v>46</v>
      </c>
      <c r="G6" s="1551">
        <f>E6/F6</f>
        <v>1.0869565217391304</v>
      </c>
      <c r="H6" s="1546">
        <v>1.01</v>
      </c>
      <c r="I6" s="1550" t="s">
        <v>1192</v>
      </c>
      <c r="J6" s="172" t="s">
        <v>321</v>
      </c>
    </row>
    <row r="7" spans="1:15" x14ac:dyDescent="0.35">
      <c r="A7" s="1552"/>
      <c r="B7" s="1553"/>
      <c r="C7" s="1129"/>
      <c r="D7" s="1552"/>
      <c r="E7" s="1552"/>
      <c r="F7" s="1552"/>
      <c r="G7" s="1554"/>
      <c r="H7" s="1554"/>
      <c r="I7" s="1555">
        <f>AVERAGE(H6)</f>
        <v>1.01</v>
      </c>
      <c r="J7" s="172"/>
    </row>
    <row r="8" spans="1:15" ht="15" thickBot="1" x14ac:dyDescent="0.4">
      <c r="A8" s="2405" t="s">
        <v>322</v>
      </c>
      <c r="B8" s="2406"/>
      <c r="C8" s="2406"/>
      <c r="D8" s="2406"/>
      <c r="E8" s="2406"/>
      <c r="F8" s="2406"/>
      <c r="G8" s="2406"/>
      <c r="H8" s="2406"/>
      <c r="I8" s="2407"/>
    </row>
    <row r="9" spans="1:15" ht="130.5" x14ac:dyDescent="0.35">
      <c r="A9" s="228"/>
      <c r="B9" s="229" t="s">
        <v>323</v>
      </c>
      <c r="C9" s="230" t="s">
        <v>324</v>
      </c>
      <c r="D9" s="228">
        <v>1</v>
      </c>
      <c r="E9" s="228">
        <v>2</v>
      </c>
      <c r="F9" s="228">
        <v>2</v>
      </c>
      <c r="G9" s="231">
        <f>F9/E9</f>
        <v>1</v>
      </c>
      <c r="H9" s="1546">
        <f t="shared" ref="H9" si="0">G9</f>
        <v>1</v>
      </c>
      <c r="I9" s="232" t="s">
        <v>1195</v>
      </c>
      <c r="J9" s="233" t="s">
        <v>325</v>
      </c>
    </row>
    <row r="10" spans="1:15" ht="15" thickBot="1" x14ac:dyDescent="0.4">
      <c r="A10" s="1552"/>
      <c r="B10" s="1509"/>
      <c r="C10" s="1509"/>
      <c r="D10" s="1509"/>
      <c r="E10" s="1509"/>
      <c r="F10" s="1559"/>
      <c r="G10" s="1509"/>
      <c r="H10" s="1509"/>
      <c r="I10" s="1560">
        <f>AVERAGE(H9)</f>
        <v>1</v>
      </c>
    </row>
    <row r="11" spans="1:15" ht="15" thickBot="1" x14ac:dyDescent="0.4">
      <c r="A11" s="1556" t="s">
        <v>326</v>
      </c>
      <c r="B11" s="1557"/>
      <c r="C11" s="1557"/>
      <c r="D11" s="1557"/>
      <c r="E11" s="1557"/>
      <c r="F11" s="1558"/>
      <c r="G11" s="1557"/>
      <c r="H11" s="1557"/>
      <c r="I11" s="234"/>
    </row>
    <row r="12" spans="1:15" ht="58" x14ac:dyDescent="0.35">
      <c r="A12" s="235"/>
      <c r="B12" s="61" t="s">
        <v>1478</v>
      </c>
      <c r="C12" s="61" t="s">
        <v>327</v>
      </c>
      <c r="D12" s="235">
        <v>1</v>
      </c>
      <c r="E12" s="235">
        <v>55</v>
      </c>
      <c r="F12" s="235">
        <v>50.3</v>
      </c>
      <c r="G12" s="227">
        <f>F12/E12</f>
        <v>0.91454545454545444</v>
      </c>
      <c r="H12" s="1546">
        <f t="shared" ref="H12" si="1">G12</f>
        <v>0.91454545454545444</v>
      </c>
      <c r="I12" s="236" t="s">
        <v>1196</v>
      </c>
      <c r="J12" s="187" t="s">
        <v>328</v>
      </c>
      <c r="K12" t="s">
        <v>1197</v>
      </c>
      <c r="L12">
        <v>2024</v>
      </c>
      <c r="M12" s="282">
        <v>125620</v>
      </c>
      <c r="N12">
        <f>2033+360+105</f>
        <v>2498</v>
      </c>
      <c r="O12">
        <f>M12/N12</f>
        <v>50.288230584467577</v>
      </c>
    </row>
    <row r="13" spans="1:15" ht="87" x14ac:dyDescent="0.35">
      <c r="A13" s="235"/>
      <c r="B13" s="52" t="s">
        <v>329</v>
      </c>
      <c r="C13" s="52" t="s">
        <v>330</v>
      </c>
      <c r="D13" s="235">
        <v>2</v>
      </c>
      <c r="E13" s="235">
        <v>150</v>
      </c>
      <c r="F13" s="235">
        <v>73</v>
      </c>
      <c r="G13" s="227">
        <f>E13/F13</f>
        <v>2.0547945205479454</v>
      </c>
      <c r="H13" s="1546">
        <v>1.01</v>
      </c>
      <c r="I13" s="61" t="s">
        <v>1199</v>
      </c>
      <c r="K13" t="s">
        <v>1198</v>
      </c>
      <c r="L13">
        <v>2024</v>
      </c>
      <c r="M13" s="282">
        <v>33185</v>
      </c>
      <c r="N13">
        <f>361+86+11</f>
        <v>458</v>
      </c>
      <c r="O13">
        <f>M13/N13</f>
        <v>72.456331877729255</v>
      </c>
    </row>
    <row r="14" spans="1:15" x14ac:dyDescent="0.35">
      <c r="A14" s="1552"/>
      <c r="B14" s="1509"/>
      <c r="C14" s="1509"/>
      <c r="D14" s="1509"/>
      <c r="E14" s="1509"/>
      <c r="F14" s="1559"/>
      <c r="G14" s="1564"/>
      <c r="H14" s="1564"/>
      <c r="I14" s="1566">
        <f>AVERAGE(H12:H13)</f>
        <v>0.96227272727272717</v>
      </c>
    </row>
    <row r="15" spans="1:15" x14ac:dyDescent="0.35">
      <c r="A15" s="2408" t="s">
        <v>331</v>
      </c>
      <c r="B15" s="2408"/>
      <c r="C15" s="2408"/>
      <c r="D15" s="2408"/>
      <c r="E15" s="2408"/>
      <c r="F15" s="2408"/>
      <c r="G15" s="2408"/>
      <c r="H15" s="2408"/>
      <c r="I15" s="2408"/>
    </row>
    <row r="16" spans="1:15" ht="43.5" x14ac:dyDescent="0.35">
      <c r="A16" s="1191"/>
      <c r="B16" s="1192" t="s">
        <v>332</v>
      </c>
      <c r="C16" s="1192" t="s">
        <v>333</v>
      </c>
      <c r="D16" s="1191">
        <v>1</v>
      </c>
      <c r="E16" s="1191">
        <v>100</v>
      </c>
      <c r="F16" s="1562">
        <v>300</v>
      </c>
      <c r="G16" s="1563">
        <f>F16/E16</f>
        <v>3</v>
      </c>
      <c r="H16" s="1546">
        <v>1.01</v>
      </c>
      <c r="I16" s="1192" t="s">
        <v>334</v>
      </c>
      <c r="J16" s="240" t="s">
        <v>335</v>
      </c>
    </row>
    <row r="17" spans="1:10" ht="65" x14ac:dyDescent="0.35">
      <c r="A17" s="235"/>
      <c r="B17" s="241"/>
      <c r="C17" s="61" t="s">
        <v>336</v>
      </c>
      <c r="D17" s="235">
        <v>2</v>
      </c>
      <c r="E17" s="235">
        <v>20</v>
      </c>
      <c r="F17" s="1116">
        <v>67</v>
      </c>
      <c r="G17" s="227">
        <f>F17/E17</f>
        <v>3.35</v>
      </c>
      <c r="H17" s="1546">
        <v>1.01</v>
      </c>
      <c r="I17" s="236" t="s">
        <v>337</v>
      </c>
      <c r="J17" s="240" t="s">
        <v>335</v>
      </c>
    </row>
    <row r="18" spans="1:10" x14ac:dyDescent="0.35">
      <c r="A18" s="1567"/>
      <c r="B18" s="1568"/>
      <c r="C18" s="1568"/>
      <c r="D18" s="1568"/>
      <c r="E18" s="1568"/>
      <c r="F18" s="1569"/>
      <c r="G18" s="1564" t="s">
        <v>1477</v>
      </c>
      <c r="H18" s="1564"/>
      <c r="I18" s="1566">
        <f>AVERAGE(H16:H17)</f>
        <v>1.01</v>
      </c>
    </row>
    <row r="19" spans="1:10" ht="15" thickBot="1" x14ac:dyDescent="0.4">
      <c r="A19" s="2405" t="s">
        <v>338</v>
      </c>
      <c r="B19" s="2406"/>
      <c r="C19" s="2406"/>
      <c r="D19" s="2406"/>
      <c r="E19" s="2406"/>
      <c r="F19" s="2406"/>
      <c r="G19" s="2406"/>
      <c r="H19" s="2406"/>
      <c r="I19" s="2407"/>
    </row>
    <row r="20" spans="1:10" ht="29" x14ac:dyDescent="0.35">
      <c r="A20" s="2401"/>
      <c r="B20" s="2403" t="s">
        <v>339</v>
      </c>
      <c r="C20" s="242" t="s">
        <v>340</v>
      </c>
      <c r="D20" s="235">
        <v>1</v>
      </c>
      <c r="E20" s="2698">
        <v>3000</v>
      </c>
      <c r="F20" s="2699">
        <v>4000</v>
      </c>
      <c r="G20" s="2700">
        <f>F20/E20</f>
        <v>1.3333333333333333</v>
      </c>
      <c r="H20" s="2701">
        <v>1.01</v>
      </c>
      <c r="I20" s="2702" t="s">
        <v>1200</v>
      </c>
      <c r="J20" s="172" t="s">
        <v>341</v>
      </c>
    </row>
    <row r="21" spans="1:10" ht="43.5" x14ac:dyDescent="0.35">
      <c r="A21" s="2402"/>
      <c r="B21" s="2403"/>
      <c r="C21" s="61" t="s">
        <v>1201</v>
      </c>
      <c r="D21" s="235">
        <v>2</v>
      </c>
      <c r="E21" s="1116">
        <v>6</v>
      </c>
      <c r="F21" s="1116">
        <v>6</v>
      </c>
      <c r="G21" s="2700">
        <f t="shared" ref="G21:G22" si="2">F21/E21</f>
        <v>1</v>
      </c>
      <c r="H21" s="2701">
        <f t="shared" ref="H21:H22" si="3">G21</f>
        <v>1</v>
      </c>
      <c r="I21" s="2703" t="s">
        <v>342</v>
      </c>
      <c r="J21" s="172" t="s">
        <v>343</v>
      </c>
    </row>
    <row r="22" spans="1:10" ht="52" x14ac:dyDescent="0.35">
      <c r="A22" s="235"/>
      <c r="B22" s="241"/>
      <c r="C22" s="61" t="s">
        <v>344</v>
      </c>
      <c r="D22" s="235">
        <v>3</v>
      </c>
      <c r="E22" s="2698">
        <v>5000</v>
      </c>
      <c r="F22" s="2698">
        <v>5000</v>
      </c>
      <c r="G22" s="2700">
        <f t="shared" si="2"/>
        <v>1</v>
      </c>
      <c r="H22" s="2701">
        <f t="shared" si="3"/>
        <v>1</v>
      </c>
      <c r="I22" s="2704" t="s">
        <v>345</v>
      </c>
      <c r="J22" s="187" t="s">
        <v>346</v>
      </c>
    </row>
    <row r="23" spans="1:10" x14ac:dyDescent="0.35">
      <c r="A23" s="1552"/>
      <c r="B23" s="1509"/>
      <c r="C23" s="1509"/>
      <c r="D23" s="1509"/>
      <c r="E23" s="1509"/>
      <c r="F23" s="1559"/>
      <c r="G23" s="1564" t="s">
        <v>636</v>
      </c>
      <c r="H23" s="1564"/>
      <c r="I23" s="1565">
        <f>AVERAGE(H20:H22)</f>
        <v>1.0033333333333332</v>
      </c>
    </row>
    <row r="24" spans="1:10" ht="15" thickBot="1" x14ac:dyDescent="0.4">
      <c r="A24" s="2405" t="s">
        <v>347</v>
      </c>
      <c r="B24" s="2406"/>
      <c r="C24" s="2406"/>
      <c r="D24" s="2406"/>
      <c r="E24" s="2406"/>
      <c r="F24" s="2406"/>
      <c r="G24" s="2406"/>
      <c r="H24" s="2406"/>
      <c r="I24" s="2407"/>
    </row>
    <row r="25" spans="1:10" ht="65.5" x14ac:dyDescent="0.35">
      <c r="A25" s="2401"/>
      <c r="B25" s="2420" t="s">
        <v>348</v>
      </c>
      <c r="C25" s="61" t="s">
        <v>349</v>
      </c>
      <c r="D25" s="235">
        <v>1</v>
      </c>
      <c r="E25" s="235">
        <v>200</v>
      </c>
      <c r="F25" s="243">
        <v>300</v>
      </c>
      <c r="G25" s="227">
        <f t="shared" ref="G25:G28" si="4">F25/E25</f>
        <v>1.5</v>
      </c>
      <c r="H25" s="1546">
        <v>1.01</v>
      </c>
      <c r="I25" s="244" t="s">
        <v>350</v>
      </c>
      <c r="J25" s="187" t="s">
        <v>351</v>
      </c>
    </row>
    <row r="26" spans="1:10" ht="29" x14ac:dyDescent="0.35">
      <c r="A26" s="2419"/>
      <c r="B26" s="2420"/>
      <c r="C26" s="12" t="s">
        <v>352</v>
      </c>
      <c r="D26" s="235">
        <v>2</v>
      </c>
      <c r="E26" s="235">
        <v>109</v>
      </c>
      <c r="F26" s="235">
        <v>99</v>
      </c>
      <c r="G26" s="227">
        <f t="shared" si="4"/>
        <v>0.90825688073394495</v>
      </c>
      <c r="H26" s="1546">
        <f t="shared" ref="H26:H27" si="5">G26</f>
        <v>0.90825688073394495</v>
      </c>
      <c r="I26" s="245" t="s">
        <v>353</v>
      </c>
    </row>
    <row r="27" spans="1:10" ht="94.5" x14ac:dyDescent="0.35">
      <c r="A27" s="2419"/>
      <c r="B27" s="2420"/>
      <c r="C27" s="52" t="s">
        <v>354</v>
      </c>
      <c r="D27" s="235">
        <v>3</v>
      </c>
      <c r="E27" s="235">
        <v>5</v>
      </c>
      <c r="F27" s="235">
        <v>5</v>
      </c>
      <c r="G27" s="227">
        <f t="shared" si="4"/>
        <v>1</v>
      </c>
      <c r="H27" s="1546">
        <f t="shared" si="5"/>
        <v>1</v>
      </c>
      <c r="I27" s="246" t="s">
        <v>355</v>
      </c>
      <c r="J27" s="187" t="s">
        <v>356</v>
      </c>
    </row>
    <row r="28" spans="1:10" x14ac:dyDescent="0.35">
      <c r="A28" s="2402"/>
      <c r="B28" s="2420"/>
      <c r="C28" s="52" t="s">
        <v>357</v>
      </c>
      <c r="D28" s="235">
        <v>4</v>
      </c>
      <c r="E28" s="235">
        <v>1300</v>
      </c>
      <c r="F28" s="235">
        <v>1500</v>
      </c>
      <c r="G28" s="227">
        <f t="shared" si="4"/>
        <v>1.1538461538461537</v>
      </c>
      <c r="H28" s="1546">
        <v>1.01</v>
      </c>
      <c r="I28" s="245" t="s">
        <v>358</v>
      </c>
      <c r="J28" s="187" t="s">
        <v>359</v>
      </c>
    </row>
    <row r="29" spans="1:10" ht="15" thickBot="1" x14ac:dyDescent="0.4">
      <c r="A29" s="1552"/>
      <c r="B29" s="1509"/>
      <c r="C29" s="1509"/>
      <c r="D29" s="1509"/>
      <c r="E29" s="1509"/>
      <c r="F29" s="1559"/>
      <c r="G29" s="1564" t="s">
        <v>636</v>
      </c>
      <c r="H29" s="1564"/>
      <c r="I29" s="1566">
        <f>AVERAGE(H25:H28)</f>
        <v>0.98206422018348616</v>
      </c>
    </row>
    <row r="30" spans="1:10" ht="15" thickBot="1" x14ac:dyDescent="0.4">
      <c r="A30" s="2421" t="s">
        <v>360</v>
      </c>
      <c r="B30" s="2422"/>
      <c r="C30" s="2422"/>
      <c r="D30" s="2422"/>
      <c r="E30" s="2422"/>
      <c r="F30" s="2422"/>
      <c r="G30" s="2422"/>
      <c r="H30" s="2422"/>
      <c r="I30" s="2423"/>
    </row>
    <row r="31" spans="1:10" ht="29" x14ac:dyDescent="0.35">
      <c r="A31" s="235"/>
      <c r="B31" s="52" t="s">
        <v>361</v>
      </c>
      <c r="C31" s="61" t="s">
        <v>362</v>
      </c>
      <c r="D31" s="235">
        <v>1</v>
      </c>
      <c r="E31" s="235">
        <v>25</v>
      </c>
      <c r="F31" s="243">
        <v>25</v>
      </c>
      <c r="G31" s="231">
        <f>F31/E31</f>
        <v>1</v>
      </c>
      <c r="H31" s="1546">
        <f t="shared" ref="H31:H32" si="6">G31</f>
        <v>1</v>
      </c>
      <c r="I31" s="61" t="s">
        <v>1202</v>
      </c>
      <c r="J31" s="187" t="s">
        <v>328</v>
      </c>
    </row>
    <row r="32" spans="1:10" ht="43.5" x14ac:dyDescent="0.35">
      <c r="A32" s="235"/>
      <c r="B32" s="52" t="s">
        <v>363</v>
      </c>
      <c r="C32" s="61" t="s">
        <v>364</v>
      </c>
      <c r="D32" s="235">
        <v>2</v>
      </c>
      <c r="E32" s="235">
        <v>3</v>
      </c>
      <c r="F32" s="235">
        <v>0</v>
      </c>
      <c r="G32" s="1117" t="s">
        <v>660</v>
      </c>
      <c r="H32" s="1546" t="str">
        <f t="shared" si="6"/>
        <v>Not Assessed</v>
      </c>
      <c r="I32" s="237" t="s">
        <v>365</v>
      </c>
    </row>
    <row r="33" spans="1:10" x14ac:dyDescent="0.35">
      <c r="A33" s="1552"/>
      <c r="B33" s="1509"/>
      <c r="C33" s="1570" t="s">
        <v>366</v>
      </c>
      <c r="D33" s="1509"/>
      <c r="E33" s="1509"/>
      <c r="F33" s="1559"/>
      <c r="G33" s="1564" t="s">
        <v>636</v>
      </c>
      <c r="H33" s="1564"/>
      <c r="I33" s="1512">
        <f>AVERAGE(H31:H32)</f>
        <v>1</v>
      </c>
    </row>
    <row r="34" spans="1:10" ht="15" thickBot="1" x14ac:dyDescent="0.4">
      <c r="A34" s="2405" t="s">
        <v>367</v>
      </c>
      <c r="B34" s="2406"/>
      <c r="C34" s="2406"/>
      <c r="D34" s="2406"/>
      <c r="E34" s="2406"/>
      <c r="F34" s="2406"/>
      <c r="G34" s="2406"/>
      <c r="H34" s="2406"/>
      <c r="I34" s="2407"/>
    </row>
    <row r="35" spans="1:10" ht="43.5" x14ac:dyDescent="0.35">
      <c r="A35" s="2424"/>
      <c r="B35" s="2427" t="s">
        <v>368</v>
      </c>
      <c r="C35" s="183" t="s">
        <v>369</v>
      </c>
      <c r="D35" s="188">
        <v>1</v>
      </c>
      <c r="E35" s="188">
        <v>100</v>
      </c>
      <c r="F35" s="188">
        <v>65</v>
      </c>
      <c r="G35" s="247">
        <f>F35/E35</f>
        <v>0.65</v>
      </c>
      <c r="H35" s="1546">
        <f t="shared" ref="H35:H39" si="7">G35</f>
        <v>0.65</v>
      </c>
      <c r="I35" s="183" t="s">
        <v>370</v>
      </c>
    </row>
    <row r="36" spans="1:10" ht="29" x14ac:dyDescent="0.35">
      <c r="A36" s="2425"/>
      <c r="B36" s="2427"/>
      <c r="C36" s="248" t="s">
        <v>371</v>
      </c>
      <c r="D36" s="188">
        <v>2</v>
      </c>
      <c r="E36" s="188">
        <v>40</v>
      </c>
      <c r="F36" s="188">
        <v>42</v>
      </c>
      <c r="G36" s="247">
        <f t="shared" ref="G36:G39" si="8">F36/E36</f>
        <v>1.05</v>
      </c>
      <c r="H36" s="1546">
        <v>1.01</v>
      </c>
      <c r="I36" s="181" t="s">
        <v>372</v>
      </c>
    </row>
    <row r="37" spans="1:10" ht="29" x14ac:dyDescent="0.35">
      <c r="A37" s="2425"/>
      <c r="B37" s="2427"/>
      <c r="C37" s="248" t="s">
        <v>373</v>
      </c>
      <c r="D37" s="188">
        <v>3</v>
      </c>
      <c r="E37" s="188">
        <v>40</v>
      </c>
      <c r="F37" s="188">
        <v>42</v>
      </c>
      <c r="G37" s="247">
        <f t="shared" si="8"/>
        <v>1.05</v>
      </c>
      <c r="H37" s="1546">
        <v>1.01</v>
      </c>
      <c r="I37" s="181" t="s">
        <v>374</v>
      </c>
    </row>
    <row r="38" spans="1:10" ht="58" x14ac:dyDescent="0.35">
      <c r="A38" s="2425"/>
      <c r="B38" s="2427"/>
      <c r="C38" s="248" t="s">
        <v>375</v>
      </c>
      <c r="D38" s="188">
        <v>4</v>
      </c>
      <c r="E38" s="188">
        <v>25</v>
      </c>
      <c r="F38" s="188">
        <v>18</v>
      </c>
      <c r="G38" s="247">
        <f t="shared" si="8"/>
        <v>0.72</v>
      </c>
      <c r="H38" s="1546">
        <f t="shared" si="7"/>
        <v>0.72</v>
      </c>
      <c r="I38" s="183" t="s">
        <v>376</v>
      </c>
    </row>
    <row r="39" spans="1:10" ht="29" x14ac:dyDescent="0.35">
      <c r="A39" s="2426"/>
      <c r="B39" s="2427"/>
      <c r="C39" s="248" t="s">
        <v>377</v>
      </c>
      <c r="D39" s="188">
        <v>5</v>
      </c>
      <c r="E39" s="188">
        <v>100</v>
      </c>
      <c r="F39" s="188">
        <v>100</v>
      </c>
      <c r="G39" s="247">
        <f t="shared" si="8"/>
        <v>1</v>
      </c>
      <c r="H39" s="1546">
        <f t="shared" si="7"/>
        <v>1</v>
      </c>
      <c r="I39" s="249"/>
    </row>
    <row r="40" spans="1:10" x14ac:dyDescent="0.35">
      <c r="A40" s="1571"/>
      <c r="B40" s="1572"/>
      <c r="C40" s="1573" t="s">
        <v>366</v>
      </c>
      <c r="D40" s="1572"/>
      <c r="E40" s="1572"/>
      <c r="F40" s="1574"/>
      <c r="G40" s="1575" t="s">
        <v>636</v>
      </c>
      <c r="H40" s="1575"/>
      <c r="I40" s="1576">
        <f>AVERAGE(H35:H39)</f>
        <v>0.87799999999999989</v>
      </c>
    </row>
    <row r="41" spans="1:10" ht="15" thickBot="1" x14ac:dyDescent="0.4">
      <c r="A41" s="2409" t="s">
        <v>378</v>
      </c>
      <c r="B41" s="2410"/>
      <c r="C41" s="2410"/>
      <c r="D41" s="2410"/>
      <c r="E41" s="2410"/>
      <c r="F41" s="2410"/>
      <c r="G41" s="2410"/>
      <c r="H41" s="2411"/>
      <c r="I41" s="2412"/>
    </row>
    <row r="42" spans="1:10" ht="72.5" x14ac:dyDescent="0.35">
      <c r="A42" s="235"/>
      <c r="B42" s="52" t="s">
        <v>379</v>
      </c>
      <c r="C42" s="52" t="s">
        <v>380</v>
      </c>
      <c r="D42" s="235">
        <v>1</v>
      </c>
      <c r="E42" s="235">
        <v>90</v>
      </c>
      <c r="F42" s="235">
        <v>90</v>
      </c>
      <c r="G42" s="227">
        <f>F42/E42</f>
        <v>1</v>
      </c>
      <c r="H42" s="1546">
        <f>G42</f>
        <v>1</v>
      </c>
      <c r="I42" s="61" t="s">
        <v>1203</v>
      </c>
      <c r="J42" s="172" t="s">
        <v>381</v>
      </c>
    </row>
    <row r="43" spans="1:10" x14ac:dyDescent="0.35">
      <c r="A43" s="1552"/>
      <c r="B43" s="1509"/>
      <c r="C43" s="1509"/>
      <c r="D43" s="1509"/>
      <c r="E43" s="1509"/>
      <c r="F43" s="1559"/>
      <c r="G43" s="1509"/>
      <c r="H43" s="1509"/>
      <c r="I43" s="1512">
        <f>AVERAGE(H42)</f>
        <v>1</v>
      </c>
    </row>
    <row r="44" spans="1:10" ht="15" thickBot="1" x14ac:dyDescent="0.4">
      <c r="A44" s="2413" t="s">
        <v>382</v>
      </c>
      <c r="B44" s="2414"/>
      <c r="C44" s="2414"/>
      <c r="D44" s="2414"/>
      <c r="E44" s="2414"/>
      <c r="F44" s="2414"/>
      <c r="G44" s="2414"/>
      <c r="H44" s="2414"/>
      <c r="I44" s="2415"/>
    </row>
    <row r="45" spans="1:10" ht="130.5" x14ac:dyDescent="0.35">
      <c r="A45" s="235"/>
      <c r="B45" s="61" t="s">
        <v>383</v>
      </c>
      <c r="C45" s="61" t="s">
        <v>384</v>
      </c>
      <c r="D45" s="235">
        <v>1</v>
      </c>
      <c r="E45" s="235">
        <v>4</v>
      </c>
      <c r="F45" s="235">
        <v>3</v>
      </c>
      <c r="G45" s="227">
        <f>F45/E45</f>
        <v>0.75</v>
      </c>
      <c r="H45" s="1546">
        <f>G45</f>
        <v>0.75</v>
      </c>
      <c r="I45" s="242" t="s">
        <v>1204</v>
      </c>
    </row>
    <row r="46" spans="1:10" ht="15" thickBot="1" x14ac:dyDescent="0.4">
      <c r="A46" s="1577"/>
      <c r="B46" s="1578"/>
      <c r="C46" s="1578"/>
      <c r="D46" s="1578"/>
      <c r="E46" s="1578"/>
      <c r="F46" s="1578"/>
      <c r="G46" s="1578"/>
      <c r="H46" s="1579"/>
      <c r="I46" s="1580">
        <f>AVERAGE(H45)</f>
        <v>0.75</v>
      </c>
    </row>
    <row r="47" spans="1:10" ht="15" thickBot="1" x14ac:dyDescent="0.4">
      <c r="A47" s="2416" t="s">
        <v>385</v>
      </c>
      <c r="B47" s="2417"/>
      <c r="C47" s="2417"/>
      <c r="D47" s="2417"/>
      <c r="E47" s="2417"/>
      <c r="F47" s="2417"/>
      <c r="G47" s="2417"/>
      <c r="H47" s="2417"/>
      <c r="I47" s="2418"/>
    </row>
    <row r="48" spans="1:10" ht="65" x14ac:dyDescent="0.35">
      <c r="A48" s="235"/>
      <c r="B48" s="61" t="s">
        <v>383</v>
      </c>
      <c r="C48" s="61" t="s">
        <v>386</v>
      </c>
      <c r="D48" s="235">
        <v>1</v>
      </c>
      <c r="E48" s="235">
        <v>4</v>
      </c>
      <c r="F48" s="243">
        <v>2</v>
      </c>
      <c r="G48" s="227">
        <f>F48/E48</f>
        <v>0.5</v>
      </c>
      <c r="H48" s="1546">
        <f>G48</f>
        <v>0.5</v>
      </c>
      <c r="I48" s="236" t="s">
        <v>1205</v>
      </c>
      <c r="J48" s="172"/>
    </row>
    <row r="49" spans="1:9" x14ac:dyDescent="0.35">
      <c r="A49" s="1577"/>
      <c r="B49" s="1578"/>
      <c r="C49" s="1578"/>
      <c r="D49" s="1578"/>
      <c r="E49" s="1578"/>
      <c r="F49" s="1578" t="s">
        <v>25</v>
      </c>
      <c r="G49" s="1578"/>
      <c r="H49" s="1579"/>
      <c r="I49" s="1580">
        <f>AVERAGE(H48)</f>
        <v>0.5</v>
      </c>
    </row>
    <row r="50" spans="1:9" x14ac:dyDescent="0.35">
      <c r="A50" s="1577"/>
      <c r="B50" s="1578"/>
      <c r="C50" s="1578"/>
      <c r="D50" s="1578"/>
      <c r="E50" s="1578"/>
      <c r="F50" s="1578" t="s">
        <v>1087</v>
      </c>
      <c r="G50" s="1578"/>
      <c r="H50" s="1561">
        <f>AVERAGE(H6:H49)</f>
        <v>0.93330919705815452</v>
      </c>
      <c r="I50" s="1580" t="s">
        <v>636</v>
      </c>
    </row>
  </sheetData>
  <mergeCells count="17">
    <mergeCell ref="A41:I41"/>
    <mergeCell ref="A44:I44"/>
    <mergeCell ref="A47:I47"/>
    <mergeCell ref="A24:I24"/>
    <mergeCell ref="A25:A28"/>
    <mergeCell ref="B25:B28"/>
    <mergeCell ref="A30:I30"/>
    <mergeCell ref="A34:I34"/>
    <mergeCell ref="A35:A39"/>
    <mergeCell ref="B35:B39"/>
    <mergeCell ref="A20:A21"/>
    <mergeCell ref="B20:B21"/>
    <mergeCell ref="A1:I1"/>
    <mergeCell ref="A2:I2"/>
    <mergeCell ref="A8:I8"/>
    <mergeCell ref="A15:I15"/>
    <mergeCell ref="A19:I19"/>
  </mergeCells>
  <printOptions horizontalCentered="1"/>
  <pageMargins left="0.31496062992125984" right="0.31496062992125984" top="0.55118110236220474" bottom="0.55118110236220474" header="0.31496062992125984" footer="0.31496062992125984"/>
  <pageSetup scale="89"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29A2-58C1-46B2-B166-4A28F3B710BF}">
  <sheetPr>
    <tabColor rgb="FFFFFF00"/>
  </sheetPr>
  <dimension ref="A1:J37"/>
  <sheetViews>
    <sheetView topLeftCell="A29" zoomScaleNormal="100" workbookViewId="0">
      <selection activeCell="H34" sqref="H34"/>
    </sheetView>
  </sheetViews>
  <sheetFormatPr defaultRowHeight="14.5" x14ac:dyDescent="0.35"/>
  <cols>
    <col min="1" max="1" width="6.7265625" customWidth="1"/>
    <col min="2" max="2" width="26" customWidth="1"/>
    <col min="3" max="3" width="33.26953125" customWidth="1"/>
    <col min="4" max="4" width="7.81640625" customWidth="1"/>
    <col min="5" max="5" width="10.1796875" style="2670" customWidth="1"/>
    <col min="6" max="6" width="10.453125" customWidth="1"/>
    <col min="7" max="8" width="11.26953125" customWidth="1"/>
    <col min="9" max="9" width="23.453125" customWidth="1"/>
    <col min="10" max="10" width="8.7265625" customWidth="1"/>
  </cols>
  <sheetData>
    <row r="1" spans="1:10" ht="21" x14ac:dyDescent="0.5">
      <c r="A1" s="2124" t="s">
        <v>273</v>
      </c>
      <c r="B1" s="2124"/>
      <c r="C1" s="2124"/>
      <c r="D1" s="2124"/>
      <c r="E1" s="2124"/>
      <c r="F1" s="2124"/>
      <c r="G1" s="2124"/>
      <c r="H1" s="2124"/>
      <c r="I1" s="2124"/>
    </row>
    <row r="2" spans="1:10" ht="19" thickBot="1" x14ac:dyDescent="0.5">
      <c r="A2" s="2068" t="s">
        <v>1029</v>
      </c>
      <c r="B2" s="2068"/>
      <c r="C2" s="2068"/>
      <c r="D2" s="2068"/>
      <c r="E2" s="2068"/>
      <c r="F2" s="2068"/>
      <c r="G2" s="2068"/>
      <c r="H2" s="2068"/>
      <c r="I2" s="2068"/>
    </row>
    <row r="3" spans="1:10" ht="26.5" thickBot="1" x14ac:dyDescent="0.4">
      <c r="A3" s="195" t="s">
        <v>276</v>
      </c>
      <c r="B3" s="196" t="s">
        <v>277</v>
      </c>
      <c r="C3" s="890" t="s">
        <v>4</v>
      </c>
      <c r="D3" s="197" t="s">
        <v>161</v>
      </c>
      <c r="E3" s="2666" t="s">
        <v>278</v>
      </c>
      <c r="F3" s="198" t="s">
        <v>162</v>
      </c>
      <c r="G3" s="196" t="s">
        <v>25</v>
      </c>
      <c r="H3" s="199" t="s">
        <v>1418</v>
      </c>
      <c r="I3" s="199" t="s">
        <v>279</v>
      </c>
    </row>
    <row r="4" spans="1:10" ht="15" thickBot="1" x14ac:dyDescent="0.4">
      <c r="A4" s="2443" t="s">
        <v>274</v>
      </c>
      <c r="B4" s="2444"/>
      <c r="C4" s="2444"/>
      <c r="D4" s="2444"/>
      <c r="E4" s="2444"/>
      <c r="F4" s="2444"/>
      <c r="G4" s="2444"/>
      <c r="H4" s="2444"/>
      <c r="I4" s="2445"/>
    </row>
    <row r="5" spans="1:10" ht="16" thickBot="1" x14ac:dyDescent="0.4">
      <c r="A5" s="2446" t="s">
        <v>275</v>
      </c>
      <c r="B5" s="2447"/>
      <c r="C5" s="2447"/>
      <c r="D5" s="2447"/>
      <c r="E5" s="2447"/>
      <c r="F5" s="2447"/>
      <c r="G5" s="2447"/>
      <c r="H5" s="2447"/>
      <c r="I5" s="2448"/>
    </row>
    <row r="7" spans="1:10" ht="72.5" x14ac:dyDescent="0.35">
      <c r="A7" s="2439">
        <v>1</v>
      </c>
      <c r="B7" s="2440" t="s">
        <v>280</v>
      </c>
      <c r="C7" s="891" t="s">
        <v>1039</v>
      </c>
      <c r="D7" s="200">
        <v>1</v>
      </c>
      <c r="E7" s="2667">
        <v>3000</v>
      </c>
      <c r="F7" s="200">
        <v>2900</v>
      </c>
      <c r="G7" s="201">
        <f>F7/E7</f>
        <v>0.96666666666666667</v>
      </c>
      <c r="H7" s="1581">
        <f>G7</f>
        <v>0.96666666666666667</v>
      </c>
      <c r="I7" s="202" t="s">
        <v>282</v>
      </c>
    </row>
    <row r="8" spans="1:10" ht="43.5" x14ac:dyDescent="0.35">
      <c r="A8" s="2439"/>
      <c r="B8" s="2440"/>
      <c r="C8" s="889" t="s">
        <v>281</v>
      </c>
      <c r="D8" s="203">
        <v>2</v>
      </c>
      <c r="E8" s="892">
        <v>1000</v>
      </c>
      <c r="F8" s="203">
        <v>500</v>
      </c>
      <c r="G8" s="204">
        <f t="shared" ref="G8:G32" si="0">F8/E8</f>
        <v>0.5</v>
      </c>
      <c r="H8" s="1581">
        <f t="shared" ref="H8:H32" si="1">G8</f>
        <v>0.5</v>
      </c>
      <c r="I8" s="202" t="s">
        <v>1595</v>
      </c>
    </row>
    <row r="9" spans="1:10" ht="87" x14ac:dyDescent="0.35">
      <c r="A9" s="2439"/>
      <c r="B9" s="2440"/>
      <c r="C9" s="210" t="s">
        <v>283</v>
      </c>
      <c r="D9" s="203">
        <v>3</v>
      </c>
      <c r="E9" s="892">
        <v>30000</v>
      </c>
      <c r="F9" s="892">
        <v>19673</v>
      </c>
      <c r="G9" s="204">
        <f t="shared" si="0"/>
        <v>0.65576666666666672</v>
      </c>
      <c r="H9" s="1581">
        <f t="shared" si="1"/>
        <v>0.65576666666666672</v>
      </c>
      <c r="I9" s="205" t="s">
        <v>284</v>
      </c>
    </row>
    <row r="10" spans="1:10" ht="44" thickBot="1" x14ac:dyDescent="0.4">
      <c r="A10" s="2436"/>
      <c r="B10" s="2438"/>
      <c r="C10" s="210" t="s">
        <v>283</v>
      </c>
      <c r="D10" s="203">
        <v>4</v>
      </c>
      <c r="E10" s="892">
        <v>10000</v>
      </c>
      <c r="F10" s="203">
        <v>5000</v>
      </c>
      <c r="G10" s="204">
        <f t="shared" si="0"/>
        <v>0.5</v>
      </c>
      <c r="H10" s="1581">
        <f t="shared" si="1"/>
        <v>0.5</v>
      </c>
      <c r="I10" s="206" t="s">
        <v>1595</v>
      </c>
    </row>
    <row r="11" spans="1:10" ht="15" thickBot="1" x14ac:dyDescent="0.4">
      <c r="A11" s="2428" t="s">
        <v>25</v>
      </c>
      <c r="B11" s="2429"/>
      <c r="C11" s="2429"/>
      <c r="D11" s="2429"/>
      <c r="E11" s="2429"/>
      <c r="F11" s="2429"/>
      <c r="G11" s="2429"/>
      <c r="H11" s="2430"/>
      <c r="I11" s="1584">
        <f>AVERAGE(H7:H10)</f>
        <v>0.65560833333333335</v>
      </c>
    </row>
    <row r="12" spans="1:10" ht="72.5" customHeight="1" x14ac:dyDescent="0.35">
      <c r="A12" s="2435">
        <v>2</v>
      </c>
      <c r="B12" s="2437" t="s">
        <v>285</v>
      </c>
      <c r="C12" s="205" t="s">
        <v>286</v>
      </c>
      <c r="D12" s="203">
        <v>5</v>
      </c>
      <c r="E12" s="892">
        <v>6</v>
      </c>
      <c r="F12" s="203">
        <v>4</v>
      </c>
      <c r="G12" s="204">
        <f t="shared" si="0"/>
        <v>0.66666666666666663</v>
      </c>
      <c r="H12" s="1581">
        <f t="shared" si="1"/>
        <v>0.66666666666666663</v>
      </c>
      <c r="I12" s="208" t="s">
        <v>287</v>
      </c>
      <c r="J12" t="s">
        <v>1040</v>
      </c>
    </row>
    <row r="13" spans="1:10" ht="70" customHeight="1" x14ac:dyDescent="0.35">
      <c r="A13" s="2439"/>
      <c r="B13" s="2440"/>
      <c r="C13" s="2433" t="s">
        <v>1041</v>
      </c>
      <c r="D13" s="203">
        <v>6</v>
      </c>
      <c r="E13" s="892">
        <v>1500</v>
      </c>
      <c r="F13" s="203">
        <v>1220</v>
      </c>
      <c r="G13" s="204">
        <f t="shared" si="0"/>
        <v>0.81333333333333335</v>
      </c>
      <c r="H13" s="1581">
        <f t="shared" si="1"/>
        <v>0.81333333333333335</v>
      </c>
      <c r="I13" s="205" t="s">
        <v>1042</v>
      </c>
    </row>
    <row r="14" spans="1:10" ht="203.5" thickBot="1" x14ac:dyDescent="0.4">
      <c r="A14" s="2436"/>
      <c r="B14" s="2438"/>
      <c r="C14" s="2434"/>
      <c r="D14" s="203">
        <v>7</v>
      </c>
      <c r="E14" s="892">
        <v>500</v>
      </c>
      <c r="F14" s="203">
        <v>400</v>
      </c>
      <c r="G14" s="204">
        <f t="shared" si="0"/>
        <v>0.8</v>
      </c>
      <c r="H14" s="1581">
        <f>G14</f>
        <v>0.8</v>
      </c>
      <c r="I14" s="206" t="s">
        <v>288</v>
      </c>
    </row>
    <row r="15" spans="1:10" ht="15" thickBot="1" x14ac:dyDescent="0.4">
      <c r="A15" s="2428" t="s">
        <v>25</v>
      </c>
      <c r="B15" s="2429"/>
      <c r="C15" s="2429"/>
      <c r="D15" s="2429"/>
      <c r="E15" s="2429"/>
      <c r="F15" s="2429"/>
      <c r="G15" s="2429"/>
      <c r="H15" s="2430"/>
      <c r="I15" s="1584">
        <f>AVERAGE(H12:H14)</f>
        <v>0.76000000000000012</v>
      </c>
    </row>
    <row r="16" spans="1:10" ht="131" thickBot="1" x14ac:dyDescent="0.4">
      <c r="A16" s="209">
        <v>3</v>
      </c>
      <c r="B16" s="210" t="s">
        <v>289</v>
      </c>
      <c r="C16" s="210" t="s">
        <v>290</v>
      </c>
      <c r="D16" s="211">
        <v>8</v>
      </c>
      <c r="E16" s="2668">
        <v>250</v>
      </c>
      <c r="F16" s="212">
        <v>680</v>
      </c>
      <c r="G16" s="894">
        <f t="shared" si="0"/>
        <v>2.72</v>
      </c>
      <c r="H16" s="1581">
        <v>1.01</v>
      </c>
      <c r="I16" s="895" t="s">
        <v>291</v>
      </c>
    </row>
    <row r="17" spans="1:9" ht="15" thickBot="1" x14ac:dyDescent="0.4">
      <c r="A17" s="2428" t="s">
        <v>25</v>
      </c>
      <c r="B17" s="2429"/>
      <c r="C17" s="2429"/>
      <c r="D17" s="2429"/>
      <c r="E17" s="2429"/>
      <c r="F17" s="2429"/>
      <c r="G17" s="2429"/>
      <c r="H17" s="2430"/>
      <c r="I17" s="1584">
        <f>AVERAGE(H16)</f>
        <v>1.01</v>
      </c>
    </row>
    <row r="18" spans="1:9" ht="97.5" customHeight="1" x14ac:dyDescent="0.35">
      <c r="A18" s="2435">
        <v>4</v>
      </c>
      <c r="B18" s="2437" t="s">
        <v>292</v>
      </c>
      <c r="C18" s="205" t="s">
        <v>1045</v>
      </c>
      <c r="D18" s="203">
        <v>9</v>
      </c>
      <c r="E18" s="892">
        <v>7</v>
      </c>
      <c r="F18" s="203">
        <v>7</v>
      </c>
      <c r="G18" s="204">
        <f t="shared" si="0"/>
        <v>1</v>
      </c>
      <c r="H18" s="1581">
        <f t="shared" si="1"/>
        <v>1</v>
      </c>
      <c r="I18" s="213" t="s">
        <v>293</v>
      </c>
    </row>
    <row r="19" spans="1:9" ht="29" x14ac:dyDescent="0.35">
      <c r="A19" s="2436"/>
      <c r="B19" s="2438"/>
      <c r="C19" s="205" t="s">
        <v>294</v>
      </c>
      <c r="D19" s="203">
        <v>10</v>
      </c>
      <c r="E19" s="892">
        <v>20000</v>
      </c>
      <c r="F19" s="896">
        <v>1800</v>
      </c>
      <c r="G19" s="204">
        <f t="shared" si="0"/>
        <v>0.09</v>
      </c>
      <c r="H19" s="1581">
        <f t="shared" si="1"/>
        <v>0.09</v>
      </c>
      <c r="I19" s="214"/>
    </row>
    <row r="20" spans="1:9" ht="87" x14ac:dyDescent="0.35">
      <c r="A20" s="2435">
        <v>5</v>
      </c>
      <c r="B20" s="2437" t="s">
        <v>295</v>
      </c>
      <c r="C20" s="205" t="s">
        <v>296</v>
      </c>
      <c r="D20" s="203">
        <v>11</v>
      </c>
      <c r="E20" s="2669">
        <v>1000</v>
      </c>
      <c r="F20" s="898">
        <v>5818</v>
      </c>
      <c r="G20" s="899">
        <f t="shared" si="0"/>
        <v>5.8179999999999996</v>
      </c>
      <c r="H20" s="1581">
        <v>1.01</v>
      </c>
      <c r="I20" s="897" t="s">
        <v>297</v>
      </c>
    </row>
    <row r="21" spans="1:9" ht="101.5" x14ac:dyDescent="0.35">
      <c r="A21" s="2439"/>
      <c r="B21" s="2440"/>
      <c r="C21" s="205" t="s">
        <v>298</v>
      </c>
      <c r="D21" s="203">
        <v>12</v>
      </c>
      <c r="E21" s="900">
        <v>60000</v>
      </c>
      <c r="F21" s="898">
        <v>169470</v>
      </c>
      <c r="G21" s="899">
        <f t="shared" si="0"/>
        <v>2.8245</v>
      </c>
      <c r="H21" s="1581">
        <v>1.01</v>
      </c>
      <c r="I21" s="213" t="s">
        <v>299</v>
      </c>
    </row>
    <row r="22" spans="1:9" ht="128" customHeight="1" x14ac:dyDescent="0.35">
      <c r="A22" s="2439"/>
      <c r="B22" s="2440"/>
      <c r="C22" s="205" t="s">
        <v>1046</v>
      </c>
      <c r="D22" s="203">
        <v>13</v>
      </c>
      <c r="E22" s="900">
        <v>1000</v>
      </c>
      <c r="F22" s="898">
        <v>1010</v>
      </c>
      <c r="G22" s="899">
        <f t="shared" si="0"/>
        <v>1.01</v>
      </c>
      <c r="H22" s="1581">
        <f t="shared" si="1"/>
        <v>1.01</v>
      </c>
      <c r="I22" s="213" t="s">
        <v>300</v>
      </c>
    </row>
    <row r="23" spans="1:9" ht="73" thickBot="1" x14ac:dyDescent="0.4">
      <c r="A23" s="2436"/>
      <c r="B23" s="2438"/>
      <c r="C23" s="205" t="s">
        <v>1047</v>
      </c>
      <c r="D23" s="203">
        <v>14</v>
      </c>
      <c r="E23" s="900">
        <v>20000</v>
      </c>
      <c r="F23" s="898">
        <v>15720</v>
      </c>
      <c r="G23" s="899">
        <f t="shared" si="0"/>
        <v>0.78600000000000003</v>
      </c>
      <c r="H23" s="1581">
        <f t="shared" si="1"/>
        <v>0.78600000000000003</v>
      </c>
      <c r="I23" s="216" t="s">
        <v>301</v>
      </c>
    </row>
    <row r="24" spans="1:9" ht="15" thickBot="1" x14ac:dyDescent="0.4">
      <c r="A24" s="2428" t="s">
        <v>25</v>
      </c>
      <c r="B24" s="2429"/>
      <c r="C24" s="2429"/>
      <c r="D24" s="2429"/>
      <c r="E24" s="2429"/>
      <c r="F24" s="2429"/>
      <c r="G24" s="2429"/>
      <c r="H24" s="2430"/>
      <c r="I24" s="1584">
        <f>AVERAGE(H18:H23)</f>
        <v>0.81766666666666676</v>
      </c>
    </row>
    <row r="25" spans="1:9" ht="58" x14ac:dyDescent="0.35">
      <c r="A25" s="2435">
        <v>6</v>
      </c>
      <c r="B25" s="2437" t="s">
        <v>302</v>
      </c>
      <c r="C25" s="205" t="s">
        <v>303</v>
      </c>
      <c r="D25" s="203">
        <v>15</v>
      </c>
      <c r="E25" s="892">
        <v>6</v>
      </c>
      <c r="F25" s="203">
        <v>3</v>
      </c>
      <c r="G25" s="204">
        <f t="shared" si="0"/>
        <v>0.5</v>
      </c>
      <c r="H25" s="1581">
        <f t="shared" si="1"/>
        <v>0.5</v>
      </c>
      <c r="I25" s="213" t="s">
        <v>304</v>
      </c>
    </row>
    <row r="26" spans="1:9" ht="58.5" thickBot="1" x14ac:dyDescent="0.4">
      <c r="A26" s="2436"/>
      <c r="B26" s="2438"/>
      <c r="C26" s="205" t="s">
        <v>305</v>
      </c>
      <c r="D26" s="203">
        <v>16</v>
      </c>
      <c r="E26" s="892">
        <v>7</v>
      </c>
      <c r="F26" s="203">
        <v>3</v>
      </c>
      <c r="G26" s="204">
        <f t="shared" si="0"/>
        <v>0.42857142857142855</v>
      </c>
      <c r="H26" s="1581">
        <f t="shared" si="1"/>
        <v>0.42857142857142855</v>
      </c>
      <c r="I26" s="213" t="s">
        <v>304</v>
      </c>
    </row>
    <row r="27" spans="1:9" ht="15" thickBot="1" x14ac:dyDescent="0.4">
      <c r="A27" s="2428" t="s">
        <v>25</v>
      </c>
      <c r="B27" s="2429"/>
      <c r="C27" s="2429"/>
      <c r="D27" s="2429"/>
      <c r="E27" s="2429"/>
      <c r="F27" s="2429"/>
      <c r="G27" s="2429"/>
      <c r="H27" s="2430"/>
      <c r="I27" s="1584">
        <f>AVERAGE(H25:H26)</f>
        <v>0.4642857142857143</v>
      </c>
    </row>
    <row r="28" spans="1:9" ht="58" x14ac:dyDescent="0.35">
      <c r="A28" s="2441">
        <v>7</v>
      </c>
      <c r="B28" s="2442" t="s">
        <v>306</v>
      </c>
      <c r="C28" s="205" t="s">
        <v>307</v>
      </c>
      <c r="D28" s="203">
        <v>17</v>
      </c>
      <c r="E28" s="892">
        <v>100</v>
      </c>
      <c r="F28" s="203">
        <v>50</v>
      </c>
      <c r="G28" s="204">
        <f t="shared" si="0"/>
        <v>0.5</v>
      </c>
      <c r="H28" s="1581">
        <f t="shared" si="1"/>
        <v>0.5</v>
      </c>
      <c r="I28" s="213" t="s">
        <v>1048</v>
      </c>
    </row>
    <row r="29" spans="1:9" ht="124.5" customHeight="1" x14ac:dyDescent="0.35">
      <c r="A29" s="2441"/>
      <c r="B29" s="2442"/>
      <c r="C29" s="205" t="s">
        <v>308</v>
      </c>
      <c r="D29" s="203">
        <v>18</v>
      </c>
      <c r="E29" s="900">
        <v>20</v>
      </c>
      <c r="F29" s="898">
        <v>13170</v>
      </c>
      <c r="G29" s="899">
        <f t="shared" si="0"/>
        <v>658.5</v>
      </c>
      <c r="H29" s="1581">
        <v>1.01</v>
      </c>
      <c r="I29" s="897" t="s">
        <v>309</v>
      </c>
    </row>
    <row r="30" spans="1:9" ht="58.5" thickBot="1" x14ac:dyDescent="0.4">
      <c r="A30" s="2441"/>
      <c r="B30" s="2442"/>
      <c r="C30" s="205" t="s">
        <v>310</v>
      </c>
      <c r="D30" s="203">
        <v>19</v>
      </c>
      <c r="E30" s="892"/>
      <c r="F30" s="215"/>
      <c r="G30" s="204"/>
      <c r="H30" s="1581" t="s">
        <v>1420</v>
      </c>
      <c r="I30" s="214" t="s">
        <v>660</v>
      </c>
    </row>
    <row r="31" spans="1:9" ht="15" thickBot="1" x14ac:dyDescent="0.4">
      <c r="A31" s="2428" t="s">
        <v>25</v>
      </c>
      <c r="B31" s="2429"/>
      <c r="C31" s="2429"/>
      <c r="D31" s="2429"/>
      <c r="E31" s="2429"/>
      <c r="F31" s="2429"/>
      <c r="G31" s="2429"/>
      <c r="H31" s="2430"/>
      <c r="I31" s="1584">
        <f>AVERAGE(H28:H30)</f>
        <v>0.755</v>
      </c>
    </row>
    <row r="32" spans="1:9" ht="58.5" thickBot="1" x14ac:dyDescent="0.4">
      <c r="A32" s="203">
        <v>8</v>
      </c>
      <c r="B32" s="205" t="s">
        <v>311</v>
      </c>
      <c r="C32" s="205" t="s">
        <v>312</v>
      </c>
      <c r="D32" s="203">
        <v>20</v>
      </c>
      <c r="E32" s="901">
        <v>100000000</v>
      </c>
      <c r="F32" s="892">
        <v>60000000</v>
      </c>
      <c r="G32" s="204">
        <f t="shared" si="0"/>
        <v>0.6</v>
      </c>
      <c r="H32" s="1581">
        <f t="shared" si="1"/>
        <v>0.6</v>
      </c>
      <c r="I32" s="214" t="s">
        <v>1479</v>
      </c>
    </row>
    <row r="33" spans="1:9" ht="15" customHeight="1" thickBot="1" x14ac:dyDescent="0.4">
      <c r="A33" s="2431" t="s">
        <v>25</v>
      </c>
      <c r="B33" s="2432"/>
      <c r="C33" s="2432"/>
      <c r="D33" s="2432"/>
      <c r="E33" s="2432"/>
      <c r="F33" s="2432"/>
      <c r="G33" s="1582"/>
      <c r="H33" s="1583"/>
      <c r="I33" s="1584">
        <f>AVERAGE(H32)</f>
        <v>0.6</v>
      </c>
    </row>
    <row r="34" spans="1:9" ht="15" customHeight="1" thickBot="1" x14ac:dyDescent="0.4">
      <c r="A34" s="2428" t="s">
        <v>1087</v>
      </c>
      <c r="B34" s="2429"/>
      <c r="C34" s="2429"/>
      <c r="D34" s="2429"/>
      <c r="E34" s="2429"/>
      <c r="F34" s="2429"/>
      <c r="G34" s="1582"/>
      <c r="H34" s="1585">
        <f>AVERAGE(H7:H33)</f>
        <v>0.72931604010025053</v>
      </c>
      <c r="I34" s="207"/>
    </row>
    <row r="35" spans="1:9" ht="29" x14ac:dyDescent="0.35">
      <c r="C35" s="893" t="s">
        <v>1043</v>
      </c>
    </row>
    <row r="36" spans="1:9" ht="29" x14ac:dyDescent="0.35">
      <c r="C36" s="893" t="s">
        <v>1044</v>
      </c>
    </row>
    <row r="37" spans="1:9" x14ac:dyDescent="0.35">
      <c r="B37" s="902"/>
    </row>
  </sheetData>
  <mergeCells count="25">
    <mergeCell ref="B28:B30"/>
    <mergeCell ref="A12:A14"/>
    <mergeCell ref="B12:B14"/>
    <mergeCell ref="A1:I1"/>
    <mergeCell ref="A2:I2"/>
    <mergeCell ref="A4:I4"/>
    <mergeCell ref="A5:I5"/>
    <mergeCell ref="A7:A10"/>
    <mergeCell ref="B7:B10"/>
    <mergeCell ref="A31:H31"/>
    <mergeCell ref="A34:F34"/>
    <mergeCell ref="A33:F33"/>
    <mergeCell ref="A11:H11"/>
    <mergeCell ref="A17:H17"/>
    <mergeCell ref="A15:H15"/>
    <mergeCell ref="A24:H24"/>
    <mergeCell ref="A27:H27"/>
    <mergeCell ref="C13:C14"/>
    <mergeCell ref="A18:A19"/>
    <mergeCell ref="B18:B19"/>
    <mergeCell ref="A20:A23"/>
    <mergeCell ref="B20:B23"/>
    <mergeCell ref="A25:A26"/>
    <mergeCell ref="B25:B26"/>
    <mergeCell ref="A28:A30"/>
  </mergeCells>
  <printOptions horizontalCentered="1"/>
  <pageMargins left="0.31496062992125984" right="0.31496062992125984" top="0.35433070866141736" bottom="0.35433070866141736" header="0.31496062992125984" footer="0.31496062992125984"/>
  <pageSetup scale="94"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8B15-F3D5-4478-B1CC-FF4039902087}">
  <dimension ref="A1:J34"/>
  <sheetViews>
    <sheetView topLeftCell="C8" zoomScaleNormal="100" workbookViewId="0">
      <selection activeCell="H13" sqref="H13"/>
    </sheetView>
  </sheetViews>
  <sheetFormatPr defaultRowHeight="14.5" x14ac:dyDescent="0.35"/>
  <cols>
    <col min="2" max="2" width="36.54296875" customWidth="1"/>
    <col min="3" max="3" width="27.7265625" customWidth="1"/>
    <col min="4" max="4" width="6.54296875" customWidth="1"/>
    <col min="5" max="5" width="8.453125" customWidth="1"/>
    <col min="6" max="6" width="9.7265625" customWidth="1"/>
    <col min="7" max="8" width="14.54296875" customWidth="1"/>
    <col min="9" max="9" width="36.81640625" customWidth="1"/>
    <col min="10" max="10" width="26.7265625" customWidth="1"/>
  </cols>
  <sheetData>
    <row r="1" spans="1:10" ht="18.5" x14ac:dyDescent="0.45">
      <c r="A1" s="2027" t="s">
        <v>208</v>
      </c>
      <c r="B1" s="2027"/>
      <c r="C1" s="2027"/>
      <c r="D1" s="2027"/>
      <c r="E1" s="2027"/>
      <c r="F1" s="2027"/>
      <c r="G1" s="2027"/>
      <c r="H1" s="2027"/>
      <c r="I1" s="2027"/>
    </row>
    <row r="2" spans="1:10" ht="19" thickBot="1" x14ac:dyDescent="0.5">
      <c r="A2" s="2027" t="s">
        <v>1029</v>
      </c>
      <c r="B2" s="2027"/>
      <c r="C2" s="2027"/>
      <c r="D2" s="2027"/>
      <c r="E2" s="2027"/>
      <c r="F2" s="2027"/>
      <c r="G2" s="2027"/>
      <c r="H2" s="2027"/>
      <c r="I2" s="2027"/>
    </row>
    <row r="3" spans="1:10" ht="16" thickBot="1" x14ac:dyDescent="0.4">
      <c r="A3" s="2449" t="s">
        <v>208</v>
      </c>
      <c r="B3" s="2450"/>
      <c r="C3" s="2450"/>
      <c r="D3" s="2450"/>
      <c r="E3" s="2450"/>
      <c r="F3" s="2450"/>
      <c r="G3" s="2450"/>
      <c r="H3" s="2450"/>
      <c r="I3" s="2451"/>
    </row>
    <row r="4" spans="1:10" ht="29.5" thickBot="1" x14ac:dyDescent="0.4">
      <c r="A4" s="160" t="s">
        <v>210</v>
      </c>
      <c r="B4" s="161" t="s">
        <v>3</v>
      </c>
      <c r="C4" s="162" t="s">
        <v>4</v>
      </c>
      <c r="D4" s="161" t="s">
        <v>211</v>
      </c>
      <c r="E4" s="163" t="s">
        <v>6</v>
      </c>
      <c r="F4" s="164" t="s">
        <v>212</v>
      </c>
      <c r="G4" s="165" t="s">
        <v>213</v>
      </c>
      <c r="H4" s="1586" t="s">
        <v>1418</v>
      </c>
      <c r="I4" s="166" t="s">
        <v>214</v>
      </c>
    </row>
    <row r="5" spans="1:10" ht="16" thickBot="1" x14ac:dyDescent="0.4">
      <c r="A5" s="2452" t="s">
        <v>209</v>
      </c>
      <c r="B5" s="2453"/>
      <c r="C5" s="2453"/>
      <c r="D5" s="2453"/>
      <c r="E5" s="2453"/>
      <c r="F5" s="2453"/>
      <c r="G5" s="2453"/>
      <c r="H5" s="2453"/>
      <c r="I5" s="2454"/>
    </row>
    <row r="7" spans="1:10" ht="409.5" x14ac:dyDescent="0.35">
      <c r="A7" s="2051">
        <v>1</v>
      </c>
      <c r="B7" s="2048" t="s">
        <v>215</v>
      </c>
      <c r="C7" s="167" t="s">
        <v>216</v>
      </c>
      <c r="D7" s="168">
        <v>1</v>
      </c>
      <c r="E7" s="168">
        <v>4</v>
      </c>
      <c r="F7" s="169">
        <v>6</v>
      </c>
      <c r="G7" s="170">
        <f>F7/E7</f>
        <v>1.5</v>
      </c>
      <c r="H7" s="1588">
        <v>1.01</v>
      </c>
      <c r="I7" s="171" t="s">
        <v>1165</v>
      </c>
      <c r="J7" s="172" t="s">
        <v>217</v>
      </c>
    </row>
    <row r="8" spans="1:10" ht="116" x14ac:dyDescent="0.35">
      <c r="A8" s="2455"/>
      <c r="B8" s="2049"/>
      <c r="C8" s="173" t="s">
        <v>218</v>
      </c>
      <c r="D8" s="174">
        <v>2</v>
      </c>
      <c r="E8" s="174">
        <v>2</v>
      </c>
      <c r="F8" s="175">
        <v>1</v>
      </c>
      <c r="G8" s="176">
        <f>F8/E8</f>
        <v>0.5</v>
      </c>
      <c r="H8" s="1588">
        <f>G8</f>
        <v>0.5</v>
      </c>
      <c r="I8" s="177" t="s">
        <v>219</v>
      </c>
      <c r="J8" s="172" t="s">
        <v>220</v>
      </c>
    </row>
    <row r="9" spans="1:10" ht="43.5" x14ac:dyDescent="0.35">
      <c r="A9" s="2455"/>
      <c r="B9" s="2049"/>
      <c r="C9" s="173" t="s">
        <v>221</v>
      </c>
      <c r="D9" s="174">
        <v>3</v>
      </c>
      <c r="E9" s="70">
        <v>1</v>
      </c>
      <c r="F9" s="178">
        <v>0</v>
      </c>
      <c r="G9" s="176">
        <f>F9/E9</f>
        <v>0</v>
      </c>
      <c r="H9" s="1588">
        <f t="shared" ref="H9:H24" si="0">G9</f>
        <v>0</v>
      </c>
      <c r="I9" s="177" t="s">
        <v>222</v>
      </c>
    </row>
    <row r="10" spans="1:10" ht="72.5" x14ac:dyDescent="0.35">
      <c r="A10" s="2455"/>
      <c r="B10" s="2049"/>
      <c r="C10" s="179" t="s">
        <v>223</v>
      </c>
      <c r="D10" s="174">
        <v>4</v>
      </c>
      <c r="E10" s="70">
        <v>11</v>
      </c>
      <c r="F10" s="180">
        <v>9</v>
      </c>
      <c r="G10" s="176">
        <f>F10/E10</f>
        <v>0.81818181818181823</v>
      </c>
      <c r="H10" s="1588">
        <f t="shared" si="0"/>
        <v>0.81818181818181823</v>
      </c>
      <c r="I10" s="177" t="s">
        <v>224</v>
      </c>
      <c r="J10" s="172" t="s">
        <v>225</v>
      </c>
    </row>
    <row r="11" spans="1:10" ht="43.5" x14ac:dyDescent="0.35">
      <c r="A11" s="174">
        <v>2</v>
      </c>
      <c r="B11" s="181" t="s">
        <v>226</v>
      </c>
      <c r="C11" s="173" t="s">
        <v>1167</v>
      </c>
      <c r="D11" s="174">
        <v>5</v>
      </c>
      <c r="E11" s="182">
        <v>55</v>
      </c>
      <c r="F11" s="180">
        <v>72</v>
      </c>
      <c r="G11" s="176">
        <f>F11/E11</f>
        <v>1.3090909090909091</v>
      </c>
      <c r="H11" s="1588">
        <v>1.01</v>
      </c>
      <c r="I11" s="177" t="s">
        <v>1166</v>
      </c>
      <c r="J11" s="172" t="s">
        <v>227</v>
      </c>
    </row>
    <row r="12" spans="1:10" ht="87" x14ac:dyDescent="0.35">
      <c r="A12" s="174">
        <v>3</v>
      </c>
      <c r="B12" s="183" t="s">
        <v>228</v>
      </c>
      <c r="C12" s="173" t="s">
        <v>229</v>
      </c>
      <c r="D12" s="174">
        <v>6</v>
      </c>
      <c r="E12" s="182">
        <v>23</v>
      </c>
      <c r="F12" s="178">
        <v>28</v>
      </c>
      <c r="G12" s="176">
        <f t="shared" ref="G12:G24" si="1">F12/E12</f>
        <v>1.2173913043478262</v>
      </c>
      <c r="H12" s="1588">
        <v>1.01</v>
      </c>
      <c r="I12" s="184" t="s">
        <v>230</v>
      </c>
      <c r="J12" s="172" t="s">
        <v>227</v>
      </c>
    </row>
    <row r="13" spans="1:10" ht="101.5" x14ac:dyDescent="0.35">
      <c r="A13" s="2455">
        <v>4</v>
      </c>
      <c r="B13" s="2049" t="s">
        <v>231</v>
      </c>
      <c r="C13" s="173" t="s">
        <v>232</v>
      </c>
      <c r="D13" s="174">
        <v>7</v>
      </c>
      <c r="E13" s="182">
        <v>3</v>
      </c>
      <c r="F13" s="178">
        <v>13</v>
      </c>
      <c r="G13" s="176">
        <f t="shared" si="1"/>
        <v>4.333333333333333</v>
      </c>
      <c r="H13" s="1588">
        <v>1.01</v>
      </c>
      <c r="I13" s="177" t="s">
        <v>1168</v>
      </c>
      <c r="J13" s="172" t="s">
        <v>233</v>
      </c>
    </row>
    <row r="14" spans="1:10" ht="101.5" x14ac:dyDescent="0.35">
      <c r="A14" s="2455"/>
      <c r="B14" s="2049"/>
      <c r="C14" s="173" t="s">
        <v>234</v>
      </c>
      <c r="D14" s="174">
        <v>8</v>
      </c>
      <c r="E14" s="182">
        <v>6</v>
      </c>
      <c r="F14" s="178">
        <v>2</v>
      </c>
      <c r="G14" s="176">
        <f t="shared" si="1"/>
        <v>0.33333333333333331</v>
      </c>
      <c r="H14" s="1588">
        <f t="shared" si="0"/>
        <v>0.33333333333333331</v>
      </c>
      <c r="I14" s="177" t="s">
        <v>235</v>
      </c>
    </row>
    <row r="15" spans="1:10" ht="101.5" x14ac:dyDescent="0.35">
      <c r="A15" s="2052">
        <v>5</v>
      </c>
      <c r="B15" s="2050" t="s">
        <v>236</v>
      </c>
      <c r="C15" s="173" t="s">
        <v>237</v>
      </c>
      <c r="D15" s="174">
        <v>9</v>
      </c>
      <c r="E15" s="182">
        <v>1</v>
      </c>
      <c r="F15" s="178">
        <v>1</v>
      </c>
      <c r="G15" s="176">
        <f t="shared" si="1"/>
        <v>1</v>
      </c>
      <c r="H15" s="1588">
        <f t="shared" si="0"/>
        <v>1</v>
      </c>
      <c r="I15" s="177" t="s">
        <v>238</v>
      </c>
    </row>
    <row r="16" spans="1:10" ht="43.5" x14ac:dyDescent="0.35">
      <c r="A16" s="2051"/>
      <c r="B16" s="2048"/>
      <c r="C16" s="173" t="s">
        <v>239</v>
      </c>
      <c r="D16" s="174">
        <v>10</v>
      </c>
      <c r="E16" s="182">
        <v>13</v>
      </c>
      <c r="F16" s="178">
        <v>10</v>
      </c>
      <c r="G16" s="176">
        <f t="shared" si="1"/>
        <v>0.76923076923076927</v>
      </c>
      <c r="H16" s="1588">
        <f t="shared" si="0"/>
        <v>0.76923076923076927</v>
      </c>
      <c r="I16" s="185" t="s">
        <v>240</v>
      </c>
      <c r="J16" s="172" t="s">
        <v>241</v>
      </c>
    </row>
    <row r="17" spans="1:10" ht="43.5" x14ac:dyDescent="0.35">
      <c r="A17" s="2052">
        <v>6</v>
      </c>
      <c r="B17" s="2049" t="s">
        <v>242</v>
      </c>
      <c r="C17" s="173" t="s">
        <v>243</v>
      </c>
      <c r="D17" s="174">
        <v>11</v>
      </c>
      <c r="E17" s="182">
        <v>1</v>
      </c>
      <c r="F17" s="180">
        <v>1</v>
      </c>
      <c r="G17" s="176">
        <f t="shared" si="1"/>
        <v>1</v>
      </c>
      <c r="H17" s="1588">
        <f t="shared" si="0"/>
        <v>1</v>
      </c>
      <c r="I17" s="177" t="s">
        <v>244</v>
      </c>
      <c r="J17" s="172" t="s">
        <v>245</v>
      </c>
    </row>
    <row r="18" spans="1:10" ht="58" x14ac:dyDescent="0.35">
      <c r="A18" s="2456"/>
      <c r="B18" s="2049"/>
      <c r="C18" s="173" t="s">
        <v>246</v>
      </c>
      <c r="D18" s="174">
        <v>12</v>
      </c>
      <c r="E18" s="182">
        <v>38</v>
      </c>
      <c r="F18" s="178">
        <v>2</v>
      </c>
      <c r="G18" s="176">
        <f t="shared" si="1"/>
        <v>5.2631578947368418E-2</v>
      </c>
      <c r="H18" s="1588">
        <f t="shared" si="0"/>
        <v>5.2631578947368418E-2</v>
      </c>
      <c r="I18" s="177" t="s">
        <v>247</v>
      </c>
      <c r="J18" s="172" t="s">
        <v>248</v>
      </c>
    </row>
    <row r="19" spans="1:10" ht="58" x14ac:dyDescent="0.35">
      <c r="A19" s="2456"/>
      <c r="B19" s="2049"/>
      <c r="C19" s="173" t="s">
        <v>249</v>
      </c>
      <c r="D19" s="174">
        <v>13</v>
      </c>
      <c r="E19" s="70">
        <v>1</v>
      </c>
      <c r="F19" s="178">
        <v>0</v>
      </c>
      <c r="G19" s="176">
        <f t="shared" si="1"/>
        <v>0</v>
      </c>
      <c r="H19" s="1588">
        <f t="shared" si="0"/>
        <v>0</v>
      </c>
      <c r="I19" s="177" t="s">
        <v>250</v>
      </c>
      <c r="J19" s="186"/>
    </row>
    <row r="20" spans="1:10" ht="43.5" x14ac:dyDescent="0.35">
      <c r="A20" s="2051"/>
      <c r="B20" s="2049"/>
      <c r="C20" s="173" t="s">
        <v>251</v>
      </c>
      <c r="D20" s="174">
        <v>14</v>
      </c>
      <c r="E20" s="182">
        <v>3</v>
      </c>
      <c r="F20" s="178">
        <v>0</v>
      </c>
      <c r="G20" s="176">
        <f t="shared" si="1"/>
        <v>0</v>
      </c>
      <c r="H20" s="1588">
        <f t="shared" si="0"/>
        <v>0</v>
      </c>
      <c r="I20" s="177" t="s">
        <v>252</v>
      </c>
      <c r="J20" s="186"/>
    </row>
    <row r="21" spans="1:10" ht="29" x14ac:dyDescent="0.35">
      <c r="A21" s="2455">
        <v>7</v>
      </c>
      <c r="B21" s="2049" t="s">
        <v>253</v>
      </c>
      <c r="C21" s="173" t="s">
        <v>254</v>
      </c>
      <c r="D21" s="174">
        <v>15</v>
      </c>
      <c r="E21" s="182">
        <v>2</v>
      </c>
      <c r="F21" s="180">
        <v>0</v>
      </c>
      <c r="G21" s="176" t="s">
        <v>660</v>
      </c>
      <c r="H21" s="1588" t="s">
        <v>1420</v>
      </c>
      <c r="I21" s="2461" t="s">
        <v>255</v>
      </c>
      <c r="J21" s="187" t="s">
        <v>256</v>
      </c>
    </row>
    <row r="22" spans="1:10" x14ac:dyDescent="0.35">
      <c r="A22" s="2455"/>
      <c r="B22" s="2049"/>
      <c r="C22" s="173" t="s">
        <v>257</v>
      </c>
      <c r="D22" s="174">
        <v>16</v>
      </c>
      <c r="E22" s="188">
        <v>1</v>
      </c>
      <c r="F22" s="178">
        <v>0</v>
      </c>
      <c r="G22" s="176" t="s">
        <v>660</v>
      </c>
      <c r="H22" s="1588" t="s">
        <v>1420</v>
      </c>
      <c r="I22" s="2462"/>
      <c r="J22" s="186"/>
    </row>
    <row r="23" spans="1:10" x14ac:dyDescent="0.35">
      <c r="A23" s="2455"/>
      <c r="B23" s="2049"/>
      <c r="C23" s="173" t="s">
        <v>258</v>
      </c>
      <c r="D23" s="174">
        <v>17</v>
      </c>
      <c r="E23" s="188">
        <v>1</v>
      </c>
      <c r="F23" s="178">
        <v>0</v>
      </c>
      <c r="G23" s="176" t="s">
        <v>660</v>
      </c>
      <c r="H23" s="1588" t="s">
        <v>1420</v>
      </c>
      <c r="I23" s="2463"/>
      <c r="J23" s="186"/>
    </row>
    <row r="24" spans="1:10" ht="87" x14ac:dyDescent="0.35">
      <c r="A24" s="1591">
        <v>8</v>
      </c>
      <c r="B24" s="1592" t="s">
        <v>259</v>
      </c>
      <c r="C24" s="1592" t="s">
        <v>260</v>
      </c>
      <c r="D24" s="1591">
        <v>18</v>
      </c>
      <c r="E24" s="1593">
        <v>10</v>
      </c>
      <c r="F24" s="1594">
        <v>4</v>
      </c>
      <c r="G24" s="1589">
        <f t="shared" si="1"/>
        <v>0.4</v>
      </c>
      <c r="H24" s="1589">
        <f t="shared" si="0"/>
        <v>0.4</v>
      </c>
      <c r="I24" s="1595" t="s">
        <v>261</v>
      </c>
      <c r="J24" s="186"/>
    </row>
    <row r="25" spans="1:10" x14ac:dyDescent="0.35">
      <c r="A25" s="1596"/>
      <c r="B25" s="1597"/>
      <c r="C25" s="1597"/>
      <c r="D25" s="1596"/>
      <c r="E25" s="1571"/>
      <c r="F25" s="1603"/>
      <c r="G25" s="1509" t="s">
        <v>213</v>
      </c>
      <c r="H25" s="1598"/>
      <c r="I25" s="1602">
        <f>AVERAGE(H7:H24)</f>
        <v>0.59422516664621916</v>
      </c>
      <c r="J25" s="186"/>
    </row>
    <row r="26" spans="1:10" ht="17.5" thickBot="1" x14ac:dyDescent="0.4">
      <c r="A26" s="2458" t="s">
        <v>262</v>
      </c>
      <c r="B26" s="2459"/>
      <c r="C26" s="2459"/>
      <c r="D26" s="2459"/>
      <c r="E26" s="2459"/>
      <c r="F26" s="2459"/>
      <c r="G26" s="2459"/>
      <c r="H26" s="2459"/>
      <c r="I26" s="2460"/>
    </row>
    <row r="27" spans="1:10" ht="29" customHeight="1" x14ac:dyDescent="0.35">
      <c r="A27" s="2464">
        <v>9</v>
      </c>
      <c r="B27" s="2467" t="s">
        <v>263</v>
      </c>
      <c r="C27" s="167" t="s">
        <v>264</v>
      </c>
      <c r="D27" s="168">
        <v>19</v>
      </c>
      <c r="E27" s="168">
        <v>2</v>
      </c>
      <c r="F27" s="191">
        <v>3</v>
      </c>
      <c r="G27" s="170">
        <f>F27/E27</f>
        <v>1.5</v>
      </c>
      <c r="H27" s="1590">
        <v>1.01</v>
      </c>
      <c r="I27" s="2469" t="s">
        <v>265</v>
      </c>
      <c r="J27" s="2457" t="s">
        <v>266</v>
      </c>
    </row>
    <row r="28" spans="1:10" ht="319" customHeight="1" x14ac:dyDescent="0.35">
      <c r="A28" s="2465"/>
      <c r="B28" s="2467"/>
      <c r="C28" s="173" t="s">
        <v>267</v>
      </c>
      <c r="D28" s="174">
        <v>20</v>
      </c>
      <c r="E28" s="174">
        <v>1</v>
      </c>
      <c r="F28" s="192">
        <v>2</v>
      </c>
      <c r="G28" s="176">
        <f>F28/E28</f>
        <v>2</v>
      </c>
      <c r="H28" s="1588">
        <v>1.01</v>
      </c>
      <c r="I28" s="2470"/>
      <c r="J28" s="2457"/>
    </row>
    <row r="29" spans="1:10" ht="72.5" x14ac:dyDescent="0.35">
      <c r="A29" s="2466"/>
      <c r="B29" s="2468"/>
      <c r="C29" s="1592" t="s">
        <v>268</v>
      </c>
      <c r="D29" s="1591">
        <v>21</v>
      </c>
      <c r="E29" s="1591">
        <v>2</v>
      </c>
      <c r="F29" s="1599">
        <v>2</v>
      </c>
      <c r="G29" s="1589">
        <f>F29/E29</f>
        <v>1</v>
      </c>
      <c r="H29" s="1590">
        <f>G29</f>
        <v>1</v>
      </c>
      <c r="I29" s="1600" t="s">
        <v>1169</v>
      </c>
      <c r="J29" s="186"/>
    </row>
    <row r="30" spans="1:10" x14ac:dyDescent="0.35">
      <c r="A30" s="1596"/>
      <c r="B30" s="1597"/>
      <c r="C30" s="1597"/>
      <c r="D30" s="1596"/>
      <c r="E30" s="1596"/>
      <c r="F30" s="1601"/>
      <c r="G30" s="1509" t="s">
        <v>213</v>
      </c>
      <c r="H30" s="1598"/>
      <c r="I30" s="1602">
        <f>AVERAGE(H27:H29)</f>
        <v>1.0066666666666666</v>
      </c>
      <c r="J30" s="186"/>
    </row>
    <row r="31" spans="1:10" ht="17.5" thickBot="1" x14ac:dyDescent="0.4">
      <c r="A31" s="2458" t="s">
        <v>269</v>
      </c>
      <c r="B31" s="2459"/>
      <c r="C31" s="2459"/>
      <c r="D31" s="2459"/>
      <c r="E31" s="2459"/>
      <c r="F31" s="2459"/>
      <c r="G31" s="2459"/>
      <c r="H31" s="2459"/>
      <c r="I31" s="2460"/>
    </row>
    <row r="32" spans="1:10" ht="87" x14ac:dyDescent="0.35">
      <c r="A32" s="168">
        <v>10</v>
      </c>
      <c r="B32" s="193" t="s">
        <v>270</v>
      </c>
      <c r="C32" s="167" t="s">
        <v>271</v>
      </c>
      <c r="D32" s="168">
        <v>22</v>
      </c>
      <c r="E32" s="168">
        <v>10</v>
      </c>
      <c r="F32" s="191"/>
      <c r="G32" s="170" t="s">
        <v>660</v>
      </c>
      <c r="H32" s="1587" t="s">
        <v>1420</v>
      </c>
      <c r="I32" s="171" t="s">
        <v>272</v>
      </c>
      <c r="J32" s="194"/>
    </row>
    <row r="33" spans="1:9" x14ac:dyDescent="0.35">
      <c r="A33" s="1509"/>
      <c r="B33" s="1509"/>
      <c r="C33" s="1509"/>
      <c r="D33" s="1509"/>
      <c r="E33" s="1509"/>
      <c r="F33" s="1509"/>
      <c r="G33" s="1509" t="s">
        <v>213</v>
      </c>
      <c r="H33" s="1509"/>
      <c r="I33" s="1565" t="s">
        <v>1420</v>
      </c>
    </row>
    <row r="34" spans="1:9" x14ac:dyDescent="0.35">
      <c r="A34" s="1509"/>
      <c r="B34" s="1509"/>
      <c r="C34" s="1509"/>
      <c r="D34" s="1509"/>
      <c r="E34" s="1509"/>
      <c r="F34" s="1509"/>
      <c r="G34" s="1604" t="s">
        <v>1087</v>
      </c>
      <c r="H34" s="1565">
        <f>AVERAGE(H7:H33)</f>
        <v>0.66296541664962705</v>
      </c>
      <c r="I34" s="1509"/>
    </row>
  </sheetData>
  <mergeCells count="21">
    <mergeCell ref="J27:J28"/>
    <mergeCell ref="A31:I31"/>
    <mergeCell ref="A21:A23"/>
    <mergeCell ref="B21:B23"/>
    <mergeCell ref="I21:I23"/>
    <mergeCell ref="A26:I26"/>
    <mergeCell ref="A27:A29"/>
    <mergeCell ref="B27:B29"/>
    <mergeCell ref="I27:I28"/>
    <mergeCell ref="A13:A14"/>
    <mergeCell ref="B13:B14"/>
    <mergeCell ref="A15:A16"/>
    <mergeCell ref="B15:B16"/>
    <mergeCell ref="A17:A20"/>
    <mergeCell ref="B17:B20"/>
    <mergeCell ref="A1:I1"/>
    <mergeCell ref="A2:I2"/>
    <mergeCell ref="A3:I3"/>
    <mergeCell ref="A5:I5"/>
    <mergeCell ref="A7:A10"/>
    <mergeCell ref="B7:B10"/>
  </mergeCells>
  <hyperlinks>
    <hyperlink ref="I16" r:id="rId1" xr:uid="{C30847F0-CCDA-4FD2-A077-AB4E86B7ED20}"/>
  </hyperlinks>
  <printOptions horizontalCentered="1"/>
  <pageMargins left="0.51181102362204722" right="0.51181102362204722" top="0.55118110236220474" bottom="0.55118110236220474" header="0.31496062992125984" footer="0.31496062992125984"/>
  <pageSetup scale="77"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C455-C0EB-4715-AF2B-988ADFF4E24F}">
  <sheetPr>
    <tabColor rgb="FF0070C0"/>
  </sheetPr>
  <dimension ref="A1:K25"/>
  <sheetViews>
    <sheetView zoomScale="134" zoomScaleNormal="134" workbookViewId="0">
      <selection sqref="A1:I1"/>
    </sheetView>
  </sheetViews>
  <sheetFormatPr defaultRowHeight="14.5" x14ac:dyDescent="0.35"/>
  <cols>
    <col min="1" max="1" width="8.54296875" customWidth="1"/>
    <col min="2" max="2" width="33.1796875" customWidth="1"/>
    <col min="3" max="3" width="38.26953125" customWidth="1"/>
    <col min="6" max="6" width="12" customWidth="1"/>
    <col min="7" max="8" width="13.54296875" customWidth="1"/>
    <col min="9" max="9" width="31.81640625" customWidth="1"/>
  </cols>
  <sheetData>
    <row r="1" spans="1:11" ht="18" x14ac:dyDescent="0.4">
      <c r="A1" s="2100" t="s">
        <v>907</v>
      </c>
      <c r="B1" s="2101"/>
      <c r="C1" s="2101"/>
      <c r="D1" s="2101"/>
      <c r="E1" s="2101"/>
      <c r="F1" s="2101"/>
      <c r="G1" s="2101"/>
      <c r="H1" s="2101"/>
      <c r="I1" s="2101"/>
    </row>
    <row r="2" spans="1:11" ht="14.5" customHeight="1" thickBot="1" x14ac:dyDescent="0.5">
      <c r="A2" s="2027" t="s">
        <v>1029</v>
      </c>
      <c r="B2" s="2027"/>
      <c r="C2" s="2027"/>
      <c r="D2" s="2027"/>
      <c r="E2" s="2027"/>
      <c r="F2" s="2027"/>
      <c r="G2" s="2027"/>
      <c r="H2" s="2027"/>
      <c r="I2" s="2027"/>
      <c r="J2" s="1318"/>
    </row>
    <row r="3" spans="1:11" ht="15" thickBot="1" x14ac:dyDescent="0.4">
      <c r="A3" s="2479" t="s">
        <v>0</v>
      </c>
      <c r="B3" s="2480"/>
      <c r="C3" s="2480"/>
      <c r="D3" s="2480"/>
      <c r="E3" s="2480"/>
      <c r="F3" s="2480"/>
      <c r="G3" s="2480"/>
      <c r="H3" s="2480"/>
      <c r="I3" s="2481"/>
    </row>
    <row r="4" spans="1:11" ht="28.5" thickBot="1" x14ac:dyDescent="0.4">
      <c r="A4" s="764" t="s">
        <v>276</v>
      </c>
      <c r="B4" s="764" t="s">
        <v>159</v>
      </c>
      <c r="C4" s="764" t="s">
        <v>4</v>
      </c>
      <c r="D4" s="765" t="s">
        <v>211</v>
      </c>
      <c r="E4" s="765" t="s">
        <v>6</v>
      </c>
      <c r="F4" s="765" t="s">
        <v>162</v>
      </c>
      <c r="G4" s="764" t="s">
        <v>25</v>
      </c>
      <c r="H4" s="1612" t="s">
        <v>1418</v>
      </c>
      <c r="I4" s="766" t="s">
        <v>279</v>
      </c>
    </row>
    <row r="5" spans="1:11" ht="15" thickBot="1" x14ac:dyDescent="0.4">
      <c r="A5" s="2482" t="s">
        <v>908</v>
      </c>
      <c r="B5" s="2483"/>
      <c r="C5" s="2483"/>
      <c r="D5" s="2483"/>
      <c r="E5" s="2483"/>
      <c r="F5" s="2483"/>
      <c r="G5" s="2483"/>
      <c r="H5" s="2483"/>
      <c r="I5" s="2484"/>
    </row>
    <row r="6" spans="1:11" ht="84" x14ac:dyDescent="0.35">
      <c r="A6" s="2485">
        <v>1</v>
      </c>
      <c r="B6" s="2488" t="s">
        <v>909</v>
      </c>
      <c r="C6" s="767" t="s">
        <v>1217</v>
      </c>
      <c r="D6" s="768">
        <v>1</v>
      </c>
      <c r="E6" s="769">
        <v>0.5</v>
      </c>
      <c r="F6" s="1130">
        <f>K6</f>
        <v>3.1454545454545455</v>
      </c>
      <c r="G6" s="770">
        <f>F6/E6</f>
        <v>6.290909090909091</v>
      </c>
      <c r="H6" s="1613">
        <v>1.01</v>
      </c>
      <c r="I6" s="771" t="s">
        <v>1218</v>
      </c>
      <c r="J6">
        <f>22800-5500</f>
        <v>17300</v>
      </c>
      <c r="K6" s="881">
        <f>J6/5500</f>
        <v>3.1454545454545455</v>
      </c>
    </row>
    <row r="7" spans="1:11" ht="42" x14ac:dyDescent="0.35">
      <c r="A7" s="2486"/>
      <c r="B7" s="2489"/>
      <c r="C7" s="767" t="s">
        <v>911</v>
      </c>
      <c r="D7" s="768">
        <v>2</v>
      </c>
      <c r="E7" s="772">
        <v>14500</v>
      </c>
      <c r="F7" s="773">
        <v>17300</v>
      </c>
      <c r="G7" s="770">
        <f t="shared" ref="G7:G24" si="0">F7/E7</f>
        <v>1.193103448275862</v>
      </c>
      <c r="H7" s="1613">
        <v>1.01</v>
      </c>
      <c r="I7" s="774" t="s">
        <v>910</v>
      </c>
      <c r="J7" s="1131">
        <f>F7-5500</f>
        <v>11800</v>
      </c>
    </row>
    <row r="8" spans="1:11" ht="266" x14ac:dyDescent="0.35">
      <c r="A8" s="2486"/>
      <c r="B8" s="2489"/>
      <c r="C8" s="767" t="s">
        <v>912</v>
      </c>
      <c r="D8" s="768">
        <v>3</v>
      </c>
      <c r="E8" s="775">
        <v>10</v>
      </c>
      <c r="F8" s="776">
        <v>8</v>
      </c>
      <c r="G8" s="770">
        <f t="shared" si="0"/>
        <v>0.8</v>
      </c>
      <c r="H8" s="1613">
        <f t="shared" ref="H8:H24" si="1">G8</f>
        <v>0.8</v>
      </c>
      <c r="I8" s="777" t="s">
        <v>1483</v>
      </c>
    </row>
    <row r="9" spans="1:11" ht="112" x14ac:dyDescent="0.35">
      <c r="A9" s="2487"/>
      <c r="B9" s="2490"/>
      <c r="C9" s="778" t="s">
        <v>913</v>
      </c>
      <c r="D9" s="779">
        <v>4</v>
      </c>
      <c r="E9" s="780">
        <v>0.3</v>
      </c>
      <c r="F9" s="780">
        <v>0.3</v>
      </c>
      <c r="G9" s="770">
        <f t="shared" si="0"/>
        <v>1</v>
      </c>
      <c r="H9" s="1613">
        <f t="shared" si="1"/>
        <v>1</v>
      </c>
      <c r="I9" s="781" t="s">
        <v>1216</v>
      </c>
    </row>
    <row r="10" spans="1:11" ht="42" x14ac:dyDescent="0.35">
      <c r="A10" s="2471">
        <v>2</v>
      </c>
      <c r="B10" s="2474" t="s">
        <v>914</v>
      </c>
      <c r="C10" s="782" t="s">
        <v>915</v>
      </c>
      <c r="D10" s="783">
        <v>5</v>
      </c>
      <c r="E10" s="784">
        <v>20</v>
      </c>
      <c r="F10" s="784">
        <v>34</v>
      </c>
      <c r="G10" s="785">
        <f t="shared" si="0"/>
        <v>1.7</v>
      </c>
      <c r="H10" s="1613">
        <v>1.01</v>
      </c>
      <c r="I10" s="786" t="s">
        <v>916</v>
      </c>
    </row>
    <row r="11" spans="1:11" ht="42" x14ac:dyDescent="0.35">
      <c r="A11" s="2472"/>
      <c r="B11" s="2475"/>
      <c r="C11" s="782" t="s">
        <v>917</v>
      </c>
      <c r="D11" s="783">
        <v>6</v>
      </c>
      <c r="E11" s="785">
        <v>0.75</v>
      </c>
      <c r="F11" s="785">
        <v>1</v>
      </c>
      <c r="G11" s="785">
        <f t="shared" si="0"/>
        <v>1.3333333333333333</v>
      </c>
      <c r="H11" s="1613">
        <v>1.01</v>
      </c>
      <c r="I11" s="787" t="s">
        <v>918</v>
      </c>
    </row>
    <row r="12" spans="1:11" ht="56" x14ac:dyDescent="0.35">
      <c r="A12" s="2472"/>
      <c r="B12" s="2475"/>
      <c r="C12" s="782" t="s">
        <v>919</v>
      </c>
      <c r="D12" s="783">
        <v>7</v>
      </c>
      <c r="E12" s="785">
        <v>0.35</v>
      </c>
      <c r="F12" s="785">
        <v>0.35</v>
      </c>
      <c r="G12" s="785">
        <f t="shared" si="0"/>
        <v>1</v>
      </c>
      <c r="H12" s="1613">
        <f t="shared" si="1"/>
        <v>1</v>
      </c>
      <c r="I12" s="787" t="s">
        <v>920</v>
      </c>
    </row>
    <row r="13" spans="1:11" ht="56" x14ac:dyDescent="0.35">
      <c r="A13" s="2472"/>
      <c r="B13" s="2475"/>
      <c r="C13" s="782" t="s">
        <v>921</v>
      </c>
      <c r="D13" s="783">
        <v>8</v>
      </c>
      <c r="E13" s="785">
        <v>1</v>
      </c>
      <c r="F13" s="785">
        <v>1</v>
      </c>
      <c r="G13" s="785">
        <f t="shared" si="0"/>
        <v>1</v>
      </c>
      <c r="H13" s="1613">
        <f t="shared" si="1"/>
        <v>1</v>
      </c>
      <c r="I13" s="787" t="s">
        <v>922</v>
      </c>
    </row>
    <row r="14" spans="1:11" ht="28" x14ac:dyDescent="0.35">
      <c r="A14" s="2472"/>
      <c r="B14" s="2475"/>
      <c r="C14" s="1132" t="s">
        <v>1222</v>
      </c>
      <c r="D14" s="1133">
        <v>9</v>
      </c>
      <c r="E14" s="1133">
        <v>100</v>
      </c>
      <c r="F14" s="1133">
        <v>80</v>
      </c>
      <c r="G14" s="1134">
        <f t="shared" ref="G14" si="2">F14/E14</f>
        <v>0.8</v>
      </c>
      <c r="H14" s="1613">
        <f t="shared" si="1"/>
        <v>0.8</v>
      </c>
      <c r="I14" s="1135" t="s">
        <v>1220</v>
      </c>
    </row>
    <row r="15" spans="1:11" x14ac:dyDescent="0.35">
      <c r="A15" s="2472"/>
      <c r="B15" s="2475"/>
      <c r="C15" s="782" t="s">
        <v>1219</v>
      </c>
      <c r="D15" s="783">
        <v>9</v>
      </c>
      <c r="E15" s="783">
        <v>1</v>
      </c>
      <c r="F15" s="783">
        <v>1</v>
      </c>
      <c r="G15" s="785">
        <f t="shared" si="0"/>
        <v>1</v>
      </c>
      <c r="H15" s="1613">
        <f t="shared" si="1"/>
        <v>1</v>
      </c>
      <c r="I15" s="786" t="s">
        <v>1221</v>
      </c>
      <c r="K15" t="s">
        <v>636</v>
      </c>
    </row>
    <row r="16" spans="1:11" ht="28" x14ac:dyDescent="0.35">
      <c r="A16" s="2472"/>
      <c r="B16" s="2475"/>
      <c r="C16" s="782" t="s">
        <v>923</v>
      </c>
      <c r="D16" s="783">
        <v>10</v>
      </c>
      <c r="E16" s="783">
        <v>2</v>
      </c>
      <c r="F16" s="783">
        <v>3</v>
      </c>
      <c r="G16" s="785">
        <f>F16/E16</f>
        <v>1.5</v>
      </c>
      <c r="H16" s="1613">
        <v>1.01</v>
      </c>
      <c r="I16" s="787" t="s">
        <v>1223</v>
      </c>
    </row>
    <row r="17" spans="1:11" ht="42" x14ac:dyDescent="0.35">
      <c r="A17" s="2472"/>
      <c r="B17" s="2475"/>
      <c r="C17" s="787" t="s">
        <v>924</v>
      </c>
      <c r="D17" s="783">
        <v>11</v>
      </c>
      <c r="E17" s="783">
        <v>6</v>
      </c>
      <c r="F17" s="783">
        <v>3</v>
      </c>
      <c r="G17" s="785">
        <f t="shared" si="0"/>
        <v>0.5</v>
      </c>
      <c r="H17" s="1613">
        <f t="shared" si="1"/>
        <v>0.5</v>
      </c>
      <c r="I17" s="787" t="s">
        <v>1224</v>
      </c>
    </row>
    <row r="18" spans="1:11" ht="42" x14ac:dyDescent="0.35">
      <c r="A18" s="2473"/>
      <c r="B18" s="2476"/>
      <c r="C18" s="788" t="s">
        <v>925</v>
      </c>
      <c r="D18" s="783">
        <v>12</v>
      </c>
      <c r="E18" s="785">
        <v>0.8</v>
      </c>
      <c r="F18" s="785">
        <v>0.6</v>
      </c>
      <c r="G18" s="785">
        <f t="shared" si="0"/>
        <v>0.74999999999999989</v>
      </c>
      <c r="H18" s="1613">
        <f t="shared" si="1"/>
        <v>0.74999999999999989</v>
      </c>
      <c r="I18" s="787" t="s">
        <v>926</v>
      </c>
    </row>
    <row r="19" spans="1:11" ht="42" x14ac:dyDescent="0.35">
      <c r="A19" s="2477">
        <v>3</v>
      </c>
      <c r="B19" s="2478" t="s">
        <v>927</v>
      </c>
      <c r="C19" s="782" t="s">
        <v>928</v>
      </c>
      <c r="D19" s="783">
        <v>13</v>
      </c>
      <c r="E19" s="785">
        <v>0.25</v>
      </c>
      <c r="F19" s="785">
        <v>2.09</v>
      </c>
      <c r="G19" s="785">
        <f t="shared" si="0"/>
        <v>8.36</v>
      </c>
      <c r="H19" s="1613">
        <v>1.01</v>
      </c>
      <c r="I19" s="786" t="s">
        <v>1225</v>
      </c>
      <c r="J19">
        <f>51-16.5</f>
        <v>34.5</v>
      </c>
    </row>
    <row r="20" spans="1:11" ht="42" x14ac:dyDescent="0.35">
      <c r="A20" s="2477"/>
      <c r="B20" s="2478"/>
      <c r="C20" s="782" t="s">
        <v>929</v>
      </c>
      <c r="D20" s="783">
        <v>14</v>
      </c>
      <c r="E20" s="785">
        <v>0.2</v>
      </c>
      <c r="F20" s="785">
        <v>0.31</v>
      </c>
      <c r="G20" s="785">
        <f t="shared" si="0"/>
        <v>1.5499999999999998</v>
      </c>
      <c r="H20" s="1613">
        <v>1.01</v>
      </c>
      <c r="I20" s="786" t="s">
        <v>930</v>
      </c>
      <c r="J20" s="881">
        <f>J19/16.5</f>
        <v>2.0909090909090908</v>
      </c>
    </row>
    <row r="21" spans="1:11" ht="56" x14ac:dyDescent="0.35">
      <c r="A21" s="2477"/>
      <c r="B21" s="2478"/>
      <c r="C21" s="782" t="s">
        <v>1571</v>
      </c>
      <c r="D21" s="783">
        <v>15</v>
      </c>
      <c r="E21" s="785">
        <v>0.1</v>
      </c>
      <c r="F21" s="785">
        <v>-0.3</v>
      </c>
      <c r="G21" s="785">
        <f t="shared" si="0"/>
        <v>-2.9999999999999996</v>
      </c>
      <c r="H21" s="1613">
        <v>0</v>
      </c>
      <c r="I21" s="786" t="s">
        <v>1480</v>
      </c>
      <c r="J21">
        <f>784.7-600.9</f>
        <v>183.80000000000007</v>
      </c>
      <c r="K21">
        <f>6684-4676</f>
        <v>2008</v>
      </c>
    </row>
    <row r="22" spans="1:11" ht="56" x14ac:dyDescent="0.35">
      <c r="A22" s="2477"/>
      <c r="B22" s="2478"/>
      <c r="C22" s="1132" t="s">
        <v>1481</v>
      </c>
      <c r="D22" s="1133">
        <v>16</v>
      </c>
      <c r="E22" s="1134">
        <v>0.2</v>
      </c>
      <c r="F22" s="1134">
        <v>0.6</v>
      </c>
      <c r="G22" s="1134">
        <f t="shared" si="0"/>
        <v>2.9999999999999996</v>
      </c>
      <c r="H22" s="1613">
        <v>1.01</v>
      </c>
      <c r="I22" s="1135" t="s">
        <v>1482</v>
      </c>
      <c r="J22" s="881">
        <f>J21/600.9</f>
        <v>0.30587452155100697</v>
      </c>
      <c r="K22">
        <f>K21/6684</f>
        <v>0.30041891083183725</v>
      </c>
    </row>
    <row r="23" spans="1:11" ht="42" x14ac:dyDescent="0.35">
      <c r="A23" s="2477"/>
      <c r="B23" s="2478"/>
      <c r="C23" s="1136" t="s">
        <v>931</v>
      </c>
      <c r="D23" s="1133">
        <v>17</v>
      </c>
      <c r="E23" s="1133">
        <v>2</v>
      </c>
      <c r="F23" s="1133">
        <v>1</v>
      </c>
      <c r="G23" s="1134">
        <f t="shared" si="0"/>
        <v>0.5</v>
      </c>
      <c r="H23" s="1613">
        <f t="shared" si="1"/>
        <v>0.5</v>
      </c>
      <c r="I23" s="1135" t="s">
        <v>932</v>
      </c>
    </row>
    <row r="24" spans="1:11" ht="28.5" thickBot="1" x14ac:dyDescent="0.4">
      <c r="A24" s="2471"/>
      <c r="B24" s="2474"/>
      <c r="C24" s="789" t="s">
        <v>933</v>
      </c>
      <c r="D24" s="783">
        <v>18</v>
      </c>
      <c r="E24" s="790">
        <v>0.5</v>
      </c>
      <c r="F24" s="790">
        <v>0.5</v>
      </c>
      <c r="G24" s="790">
        <f t="shared" si="0"/>
        <v>1</v>
      </c>
      <c r="H24" s="1613">
        <f t="shared" si="1"/>
        <v>1</v>
      </c>
      <c r="I24" s="791" t="s">
        <v>1226</v>
      </c>
    </row>
    <row r="25" spans="1:11" ht="15" thickBot="1" x14ac:dyDescent="0.4">
      <c r="A25" s="792"/>
      <c r="B25" s="793"/>
      <c r="C25" s="794" t="s">
        <v>366</v>
      </c>
      <c r="D25" s="795"/>
      <c r="E25" s="796"/>
      <c r="F25" s="793"/>
      <c r="G25" s="797"/>
      <c r="H25" s="797">
        <f>AVERAGE(H6:H24)</f>
        <v>0.86473684210526314</v>
      </c>
      <c r="I25" s="793"/>
    </row>
  </sheetData>
  <mergeCells count="10">
    <mergeCell ref="A10:A18"/>
    <mergeCell ref="B10:B18"/>
    <mergeCell ref="A19:A24"/>
    <mergeCell ref="B19:B24"/>
    <mergeCell ref="A1:I1"/>
    <mergeCell ref="A2:I2"/>
    <mergeCell ref="A3:I3"/>
    <mergeCell ref="A5:I5"/>
    <mergeCell ref="A6:A9"/>
    <mergeCell ref="B6:B9"/>
  </mergeCells>
  <printOptions horizontalCentered="1"/>
  <pageMargins left="0.51181102362204722" right="0.51181102362204722" top="0.55118110236220474" bottom="0.55118110236220474" header="0.31496062992125984" footer="0.31496062992125984"/>
  <pageSetup scale="7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272B-034A-4E6F-9B38-B12B3E7931E2}">
  <sheetPr>
    <tabColor rgb="FFFFC000"/>
  </sheetPr>
  <dimension ref="A1:P34"/>
  <sheetViews>
    <sheetView topLeftCell="A12" zoomScaleNormal="100" workbookViewId="0">
      <selection activeCell="F16" sqref="F16"/>
    </sheetView>
  </sheetViews>
  <sheetFormatPr defaultRowHeight="14.5" x14ac:dyDescent="0.35"/>
  <cols>
    <col min="1" max="1" width="7" customWidth="1"/>
    <col min="2" max="2" width="29.54296875" customWidth="1"/>
    <col min="3" max="3" width="32.54296875" customWidth="1"/>
    <col min="4" max="4" width="6.453125" customWidth="1"/>
    <col min="5" max="5" width="8.54296875" customWidth="1"/>
    <col min="6" max="6" width="9.7265625" customWidth="1"/>
    <col min="7" max="7" width="10.7265625" customWidth="1"/>
    <col min="8" max="8" width="10.7265625" style="1619" customWidth="1"/>
    <col min="9" max="9" width="27.81640625" customWidth="1"/>
    <col min="10" max="10" width="24.26953125" customWidth="1"/>
    <col min="11" max="11" width="11.08984375" bestFit="1" customWidth="1"/>
    <col min="13" max="13" width="14.6328125" bestFit="1" customWidth="1"/>
  </cols>
  <sheetData>
    <row r="1" spans="1:12" ht="19.5" x14ac:dyDescent="0.35">
      <c r="A1" s="2495" t="s">
        <v>156</v>
      </c>
      <c r="B1" s="2495"/>
      <c r="C1" s="2495"/>
      <c r="D1" s="2495"/>
      <c r="E1" s="2495"/>
      <c r="F1" s="2495"/>
      <c r="G1" s="2495"/>
      <c r="H1" s="2495"/>
      <c r="I1" s="2495"/>
      <c r="J1" s="92"/>
    </row>
    <row r="2" spans="1:12" ht="20" thickBot="1" x14ac:dyDescent="0.5">
      <c r="A2" s="2496" t="s">
        <v>1029</v>
      </c>
      <c r="B2" s="2496"/>
      <c r="C2" s="2496"/>
      <c r="D2" s="2496"/>
      <c r="E2" s="2496"/>
      <c r="F2" s="2496"/>
      <c r="G2" s="2496"/>
      <c r="H2" s="2496"/>
      <c r="I2" s="2496"/>
      <c r="J2" s="92"/>
    </row>
    <row r="3" spans="1:12" ht="15" thickBot="1" x14ac:dyDescent="0.4">
      <c r="A3" s="2497" t="s">
        <v>157</v>
      </c>
      <c r="B3" s="2498"/>
      <c r="C3" s="2498"/>
      <c r="D3" s="2498"/>
      <c r="E3" s="2498"/>
      <c r="F3" s="2498"/>
      <c r="G3" s="2498"/>
      <c r="H3" s="2498"/>
      <c r="I3" s="2499"/>
      <c r="J3" s="92"/>
    </row>
    <row r="4" spans="1:12" ht="26.5" thickBot="1" x14ac:dyDescent="0.4">
      <c r="A4" s="93" t="s">
        <v>158</v>
      </c>
      <c r="B4" s="94" t="s">
        <v>159</v>
      </c>
      <c r="C4" s="95" t="s">
        <v>160</v>
      </c>
      <c r="D4" s="96" t="s">
        <v>161</v>
      </c>
      <c r="E4" s="97" t="s">
        <v>6</v>
      </c>
      <c r="F4" s="96" t="s">
        <v>162</v>
      </c>
      <c r="G4" s="95" t="s">
        <v>25</v>
      </c>
      <c r="H4" s="1617" t="s">
        <v>1418</v>
      </c>
      <c r="I4" s="94" t="s">
        <v>163</v>
      </c>
      <c r="J4" s="92"/>
    </row>
    <row r="5" spans="1:12" s="918" customFormat="1" ht="52.5" thickBot="1" x14ac:dyDescent="0.4">
      <c r="A5" s="910">
        <v>1</v>
      </c>
      <c r="B5" s="911" t="s">
        <v>164</v>
      </c>
      <c r="C5" s="912" t="s">
        <v>1030</v>
      </c>
      <c r="D5" s="913">
        <v>1</v>
      </c>
      <c r="E5" s="913">
        <v>1435</v>
      </c>
      <c r="F5" s="914">
        <v>1722</v>
      </c>
      <c r="G5" s="915" t="s">
        <v>1420</v>
      </c>
      <c r="H5" s="1774" t="s">
        <v>1420</v>
      </c>
      <c r="I5" s="916" t="s">
        <v>1031</v>
      </c>
      <c r="J5" s="917" t="s">
        <v>165</v>
      </c>
    </row>
    <row r="6" spans="1:12" ht="65.5" thickBot="1" x14ac:dyDescent="0.4">
      <c r="A6" s="2500">
        <v>2</v>
      </c>
      <c r="B6" s="2502" t="s">
        <v>166</v>
      </c>
      <c r="C6" s="99" t="s">
        <v>167</v>
      </c>
      <c r="D6" s="100">
        <v>2</v>
      </c>
      <c r="E6" s="100">
        <v>10</v>
      </c>
      <c r="F6" s="101">
        <v>9</v>
      </c>
      <c r="G6" s="102">
        <f>F6/E6</f>
        <v>0.9</v>
      </c>
      <c r="H6" s="1618">
        <f t="shared" ref="H6:H8" si="0">G6</f>
        <v>0.9</v>
      </c>
      <c r="I6" s="103" t="s">
        <v>1064</v>
      </c>
      <c r="J6" s="98" t="s">
        <v>168</v>
      </c>
    </row>
    <row r="7" spans="1:12" ht="39.5" thickBot="1" x14ac:dyDescent="0.4">
      <c r="A7" s="2501"/>
      <c r="B7" s="2503"/>
      <c r="C7" s="99" t="s">
        <v>1606</v>
      </c>
      <c r="D7" s="100">
        <v>3</v>
      </c>
      <c r="E7" s="100">
        <v>60</v>
      </c>
      <c r="F7" s="101">
        <v>25</v>
      </c>
      <c r="G7" s="102">
        <f t="shared" ref="G7:G9" si="1">F7/E7</f>
        <v>0.41666666666666669</v>
      </c>
      <c r="H7" s="1618">
        <f t="shared" si="0"/>
        <v>0.41666666666666669</v>
      </c>
      <c r="I7" s="919" t="s">
        <v>1065</v>
      </c>
      <c r="J7" s="98" t="s">
        <v>169</v>
      </c>
    </row>
    <row r="8" spans="1:12" ht="52.5" thickBot="1" x14ac:dyDescent="0.4">
      <c r="A8" s="2501"/>
      <c r="B8" s="2503"/>
      <c r="C8" s="104" t="s">
        <v>170</v>
      </c>
      <c r="D8" s="105">
        <v>4</v>
      </c>
      <c r="E8" s="105">
        <v>300</v>
      </c>
      <c r="F8" s="924">
        <v>250</v>
      </c>
      <c r="G8" s="106">
        <f t="shared" si="1"/>
        <v>0.83333333333333337</v>
      </c>
      <c r="H8" s="1618">
        <f t="shared" si="0"/>
        <v>0.83333333333333337</v>
      </c>
      <c r="I8" s="107" t="s">
        <v>171</v>
      </c>
      <c r="J8" s="108" t="s">
        <v>172</v>
      </c>
    </row>
    <row r="9" spans="1:12" ht="39.5" thickBot="1" x14ac:dyDescent="0.4">
      <c r="A9" s="920"/>
      <c r="B9" s="800"/>
      <c r="C9" s="921" t="s">
        <v>1066</v>
      </c>
      <c r="D9" s="922">
        <v>5</v>
      </c>
      <c r="E9" s="925">
        <v>7000</v>
      </c>
      <c r="F9" s="883">
        <v>11309</v>
      </c>
      <c r="G9" s="923">
        <f t="shared" si="1"/>
        <v>1.6155714285714287</v>
      </c>
      <c r="H9" s="1618">
        <v>1.01</v>
      </c>
      <c r="I9" s="107" t="s">
        <v>1067</v>
      </c>
      <c r="J9" s="108"/>
    </row>
    <row r="10" spans="1:12" ht="15" thickBot="1" x14ac:dyDescent="0.4">
      <c r="A10" s="109"/>
      <c r="B10" s="110"/>
      <c r="C10" s="111"/>
      <c r="D10" s="112"/>
      <c r="E10" s="113"/>
      <c r="F10" s="114"/>
      <c r="G10" s="1621" t="s">
        <v>25</v>
      </c>
      <c r="H10" s="115"/>
      <c r="I10" s="1622">
        <f>AVERAGE(H5:H9)</f>
        <v>0.79</v>
      </c>
      <c r="J10" s="92"/>
    </row>
    <row r="11" spans="1:12" ht="15" thickBot="1" x14ac:dyDescent="0.4">
      <c r="J11" s="92"/>
    </row>
    <row r="12" spans="1:12" ht="15" thickBot="1" x14ac:dyDescent="0.4">
      <c r="A12" s="2504" t="s">
        <v>173</v>
      </c>
      <c r="B12" s="2505"/>
      <c r="C12" s="2505"/>
      <c r="D12" s="2505"/>
      <c r="E12" s="2505"/>
      <c r="F12" s="2505"/>
      <c r="G12" s="2505"/>
      <c r="H12" s="2505"/>
      <c r="I12" s="2506"/>
      <c r="J12" s="92"/>
    </row>
    <row r="13" spans="1:12" ht="56.5" thickBot="1" x14ac:dyDescent="0.4">
      <c r="A13" s="2507">
        <v>3</v>
      </c>
      <c r="B13" s="2509" t="s">
        <v>174</v>
      </c>
      <c r="C13" s="116" t="s">
        <v>175</v>
      </c>
      <c r="D13" s="117">
        <v>1</v>
      </c>
      <c r="E13" s="117">
        <v>5</v>
      </c>
      <c r="F13" s="117">
        <v>4</v>
      </c>
      <c r="G13" s="118">
        <f t="shared" ref="G13:G20" si="2">F13/E13</f>
        <v>0.8</v>
      </c>
      <c r="H13" s="1618">
        <f t="shared" ref="H13:H20" si="3">G13</f>
        <v>0.8</v>
      </c>
      <c r="I13" s="119" t="s">
        <v>1068</v>
      </c>
      <c r="J13" s="120" t="s">
        <v>176</v>
      </c>
      <c r="K13" s="902">
        <f>65607+34994+93212+8610</f>
        <v>202423</v>
      </c>
      <c r="L13" s="927">
        <f>L14/K13</f>
        <v>5.0508094435908965E-2</v>
      </c>
    </row>
    <row r="14" spans="1:12" ht="28.5" thickBot="1" x14ac:dyDescent="0.4">
      <c r="A14" s="2508"/>
      <c r="B14" s="2510"/>
      <c r="C14" s="121" t="s">
        <v>177</v>
      </c>
      <c r="D14" s="122">
        <v>2</v>
      </c>
      <c r="E14" s="123">
        <v>0.1</v>
      </c>
      <c r="F14" s="928">
        <f>(8610+1614)/202423</f>
        <v>5.0508094435908965E-2</v>
      </c>
      <c r="G14" s="124">
        <f t="shared" si="2"/>
        <v>0.50508094435908957</v>
      </c>
      <c r="H14" s="1618">
        <f t="shared" si="3"/>
        <v>0.50508094435908957</v>
      </c>
      <c r="I14" s="125" t="s">
        <v>1069</v>
      </c>
      <c r="J14" s="120" t="s">
        <v>178</v>
      </c>
      <c r="K14">
        <f>30*287</f>
        <v>8610</v>
      </c>
      <c r="L14">
        <f>K14+1614</f>
        <v>10224</v>
      </c>
    </row>
    <row r="15" spans="1:12" ht="42.5" thickBot="1" x14ac:dyDescent="0.4">
      <c r="A15" s="126">
        <v>4</v>
      </c>
      <c r="B15" s="127" t="s">
        <v>179</v>
      </c>
      <c r="C15" s="127" t="s">
        <v>180</v>
      </c>
      <c r="D15" s="122">
        <v>3</v>
      </c>
      <c r="E15" s="123">
        <v>1</v>
      </c>
      <c r="F15" s="123">
        <v>0.5</v>
      </c>
      <c r="G15" s="123">
        <v>0.6</v>
      </c>
      <c r="H15" s="1618">
        <f t="shared" si="3"/>
        <v>0.6</v>
      </c>
      <c r="I15" s="128" t="s">
        <v>1607</v>
      </c>
      <c r="J15" s="120"/>
      <c r="K15" s="881">
        <f>K14/345000</f>
        <v>2.4956521739130436E-2</v>
      </c>
    </row>
    <row r="16" spans="1:12" ht="98.5" thickBot="1" x14ac:dyDescent="0.4">
      <c r="A16" s="2491">
        <v>5</v>
      </c>
      <c r="B16" s="2493" t="s">
        <v>181</v>
      </c>
      <c r="C16" s="127" t="s">
        <v>182</v>
      </c>
      <c r="D16" s="122">
        <v>4</v>
      </c>
      <c r="E16" s="122">
        <v>5</v>
      </c>
      <c r="F16" s="122">
        <v>2</v>
      </c>
      <c r="G16" s="124">
        <f t="shared" si="2"/>
        <v>0.4</v>
      </c>
      <c r="H16" s="1618">
        <f t="shared" si="3"/>
        <v>0.4</v>
      </c>
      <c r="I16" s="128" t="s">
        <v>1608</v>
      </c>
      <c r="J16" s="120"/>
      <c r="K16">
        <v>20</v>
      </c>
    </row>
    <row r="17" spans="1:16" ht="84.5" thickBot="1" x14ac:dyDescent="0.4">
      <c r="A17" s="2492"/>
      <c r="B17" s="2494"/>
      <c r="C17" s="127" t="s">
        <v>183</v>
      </c>
      <c r="D17" s="122">
        <v>5</v>
      </c>
      <c r="E17" s="123">
        <v>0.1</v>
      </c>
      <c r="F17" s="123">
        <v>0.39</v>
      </c>
      <c r="G17" s="124">
        <f t="shared" si="2"/>
        <v>3.9</v>
      </c>
      <c r="H17" s="1618">
        <v>1.01</v>
      </c>
      <c r="I17" s="128" t="s">
        <v>1486</v>
      </c>
      <c r="J17" s="120" t="s">
        <v>184</v>
      </c>
      <c r="K17" s="929"/>
      <c r="M17">
        <f>296.5+135.6</f>
        <v>432.1</v>
      </c>
      <c r="N17">
        <f>538+135.6</f>
        <v>673.6</v>
      </c>
      <c r="O17">
        <f>N17-M17</f>
        <v>241.5</v>
      </c>
      <c r="P17" s="881">
        <f>O17/M17</f>
        <v>0.55889840314741956</v>
      </c>
    </row>
    <row r="18" spans="1:16" ht="56.5" thickBot="1" x14ac:dyDescent="0.4">
      <c r="A18" s="2508"/>
      <c r="B18" s="2511"/>
      <c r="C18" s="127" t="s">
        <v>185</v>
      </c>
      <c r="D18" s="122">
        <v>6</v>
      </c>
      <c r="E18" s="123">
        <v>0.1</v>
      </c>
      <c r="F18" s="123">
        <v>0.56000000000000005</v>
      </c>
      <c r="G18" s="123">
        <f t="shared" si="2"/>
        <v>5.6000000000000005</v>
      </c>
      <c r="H18" s="1618">
        <v>1.01</v>
      </c>
      <c r="I18" s="128" t="s">
        <v>1070</v>
      </c>
      <c r="J18" s="120" t="s">
        <v>186</v>
      </c>
      <c r="K18">
        <f>20*287</f>
        <v>5740</v>
      </c>
      <c r="L18">
        <v>1614</v>
      </c>
      <c r="M18" s="902">
        <f>L18*12*7000</f>
        <v>135576000</v>
      </c>
    </row>
    <row r="19" spans="1:16" ht="42.5" thickBot="1" x14ac:dyDescent="0.4">
      <c r="A19" s="2491">
        <v>6</v>
      </c>
      <c r="B19" s="2493" t="s">
        <v>187</v>
      </c>
      <c r="C19" s="127" t="s">
        <v>188</v>
      </c>
      <c r="D19" s="122">
        <v>7</v>
      </c>
      <c r="E19" s="123">
        <v>0.1</v>
      </c>
      <c r="F19" s="123">
        <v>0.57899999999999996</v>
      </c>
      <c r="G19" s="123">
        <f>F19/E19</f>
        <v>5.7899999999999991</v>
      </c>
      <c r="H19" s="1618">
        <v>1.01</v>
      </c>
      <c r="I19" s="128" t="s">
        <v>1071</v>
      </c>
      <c r="J19" s="120" t="s">
        <v>189</v>
      </c>
      <c r="K19">
        <v>8610</v>
      </c>
      <c r="L19">
        <v>1614</v>
      </c>
    </row>
    <row r="20" spans="1:16" ht="42.5" thickBot="1" x14ac:dyDescent="0.4">
      <c r="A20" s="2492"/>
      <c r="B20" s="2494"/>
      <c r="C20" s="129" t="s">
        <v>190</v>
      </c>
      <c r="D20" s="130">
        <v>8</v>
      </c>
      <c r="E20" s="123">
        <v>0.1</v>
      </c>
      <c r="F20" s="123">
        <v>0</v>
      </c>
      <c r="G20" s="123">
        <f t="shared" si="2"/>
        <v>0</v>
      </c>
      <c r="H20" s="1618">
        <f t="shared" si="3"/>
        <v>0</v>
      </c>
      <c r="I20" s="131" t="s">
        <v>1484</v>
      </c>
      <c r="J20" s="120" t="s">
        <v>191</v>
      </c>
      <c r="K20">
        <f>K19-K18</f>
        <v>2870</v>
      </c>
      <c r="L20">
        <f>L19-L18</f>
        <v>0</v>
      </c>
    </row>
    <row r="21" spans="1:16" ht="15" thickBot="1" x14ac:dyDescent="0.4">
      <c r="A21" s="109"/>
      <c r="B21" s="111"/>
      <c r="C21" s="132"/>
      <c r="D21" s="112"/>
      <c r="E21" s="148"/>
      <c r="F21" s="1621"/>
      <c r="G21" s="1621" t="s">
        <v>25</v>
      </c>
      <c r="H21" s="115"/>
      <c r="I21" s="1622">
        <f>AVERAGE(H18:H20)</f>
        <v>0.67333333333333334</v>
      </c>
      <c r="J21" s="92"/>
      <c r="K21" s="902">
        <f>K18+L18</f>
        <v>7354</v>
      </c>
    </row>
    <row r="22" spans="1:16" ht="15" thickBot="1" x14ac:dyDescent="0.4">
      <c r="J22" s="92"/>
      <c r="K22" s="902">
        <f>K19+L19</f>
        <v>10224</v>
      </c>
    </row>
    <row r="23" spans="1:16" ht="15" thickBot="1" x14ac:dyDescent="0.4">
      <c r="A23" s="2504" t="s">
        <v>192</v>
      </c>
      <c r="B23" s="2505"/>
      <c r="C23" s="2505"/>
      <c r="D23" s="2505"/>
      <c r="E23" s="2505"/>
      <c r="F23" s="2505"/>
      <c r="G23" s="2505"/>
      <c r="H23" s="2505"/>
      <c r="I23" s="2506"/>
      <c r="J23" s="92"/>
      <c r="K23" s="926">
        <f>K22-K21</f>
        <v>2870</v>
      </c>
    </row>
    <row r="24" spans="1:16" ht="98.5" thickBot="1" x14ac:dyDescent="0.4">
      <c r="A24" s="2512">
        <v>7</v>
      </c>
      <c r="B24" s="2515" t="s">
        <v>193</v>
      </c>
      <c r="C24" s="133" t="s">
        <v>194</v>
      </c>
      <c r="D24" s="134">
        <v>1</v>
      </c>
      <c r="E24" s="134">
        <v>10</v>
      </c>
      <c r="F24" s="134">
        <v>3</v>
      </c>
      <c r="G24" s="135">
        <f>F24/E24</f>
        <v>0.3</v>
      </c>
      <c r="H24" s="1618">
        <f t="shared" ref="H24:H26" si="4">G24</f>
        <v>0.3</v>
      </c>
      <c r="I24" s="136" t="s">
        <v>1072</v>
      </c>
      <c r="J24" s="120" t="s">
        <v>195</v>
      </c>
    </row>
    <row r="25" spans="1:16" ht="42.5" thickBot="1" x14ac:dyDescent="0.4">
      <c r="A25" s="2513"/>
      <c r="B25" s="2294"/>
      <c r="C25" s="137" t="s">
        <v>196</v>
      </c>
      <c r="D25" s="138">
        <v>2</v>
      </c>
      <c r="E25" s="139">
        <v>287</v>
      </c>
      <c r="F25" s="140">
        <v>54</v>
      </c>
      <c r="G25" s="141">
        <f t="shared" ref="G25" si="5">F25/E25</f>
        <v>0.18815331010452963</v>
      </c>
      <c r="H25" s="1618">
        <f t="shared" si="4"/>
        <v>0.18815331010452963</v>
      </c>
      <c r="I25" s="128" t="s">
        <v>1073</v>
      </c>
      <c r="J25" s="120" t="s">
        <v>197</v>
      </c>
    </row>
    <row r="26" spans="1:16" ht="28.5" thickBot="1" x14ac:dyDescent="0.4">
      <c r="A26" s="2514"/>
      <c r="B26" s="2516"/>
      <c r="C26" s="142" t="s">
        <v>198</v>
      </c>
      <c r="D26" s="143">
        <v>3</v>
      </c>
      <c r="E26" s="144">
        <v>0.4</v>
      </c>
      <c r="F26" s="145">
        <v>0</v>
      </c>
      <c r="G26" s="146">
        <f>F26/E26</f>
        <v>0</v>
      </c>
      <c r="H26" s="1618">
        <f t="shared" si="4"/>
        <v>0</v>
      </c>
      <c r="I26" s="147"/>
      <c r="J26" s="120" t="s">
        <v>199</v>
      </c>
    </row>
    <row r="27" spans="1:16" ht="15" thickBot="1" x14ac:dyDescent="0.4">
      <c r="A27" s="109"/>
      <c r="B27" s="111"/>
      <c r="C27" s="132"/>
      <c r="D27" s="112"/>
      <c r="E27" s="148"/>
      <c r="F27" s="1620"/>
      <c r="G27" s="1620" t="s">
        <v>25</v>
      </c>
      <c r="H27" s="115"/>
      <c r="I27" s="1622">
        <f>AVERAGE(H24:H26)</f>
        <v>0.1627177700348432</v>
      </c>
      <c r="J27" s="120"/>
    </row>
    <row r="28" spans="1:16" ht="15" thickBot="1" x14ac:dyDescent="0.4">
      <c r="J28" s="120"/>
    </row>
    <row r="29" spans="1:16" ht="15" thickBot="1" x14ac:dyDescent="0.4">
      <c r="A29" s="2504" t="s">
        <v>200</v>
      </c>
      <c r="B29" s="2505"/>
      <c r="C29" s="2505"/>
      <c r="D29" s="2505"/>
      <c r="E29" s="2505"/>
      <c r="F29" s="2505"/>
      <c r="G29" s="2505"/>
      <c r="H29" s="2505"/>
      <c r="I29" s="2506"/>
      <c r="J29" s="120"/>
    </row>
    <row r="30" spans="1:16" ht="84.5" thickBot="1" x14ac:dyDescent="0.4">
      <c r="A30" s="2512">
        <v>8</v>
      </c>
      <c r="B30" s="2515" t="s">
        <v>201</v>
      </c>
      <c r="C30" s="149" t="s">
        <v>202</v>
      </c>
      <c r="D30" s="134">
        <v>1</v>
      </c>
      <c r="E30" s="150">
        <v>1</v>
      </c>
      <c r="F30" s="930">
        <v>0.87</v>
      </c>
      <c r="G30" s="931">
        <f>F30/E30</f>
        <v>0.87</v>
      </c>
      <c r="H30" s="1618">
        <f t="shared" ref="H30:H32" si="6">G30</f>
        <v>0.87</v>
      </c>
      <c r="I30" s="152" t="s">
        <v>1074</v>
      </c>
      <c r="J30" s="120" t="s">
        <v>203</v>
      </c>
    </row>
    <row r="31" spans="1:16" ht="56.5" thickBot="1" x14ac:dyDescent="0.4">
      <c r="A31" s="2513"/>
      <c r="B31" s="2294"/>
      <c r="C31" s="137" t="s">
        <v>204</v>
      </c>
      <c r="D31" s="138">
        <v>2</v>
      </c>
      <c r="E31" s="150"/>
      <c r="F31" s="153"/>
      <c r="G31" s="135"/>
      <c r="H31" s="1618" t="s">
        <v>1420</v>
      </c>
      <c r="I31" s="154" t="s">
        <v>1485</v>
      </c>
      <c r="J31" s="120" t="s">
        <v>205</v>
      </c>
    </row>
    <row r="32" spans="1:16" ht="70.5" thickBot="1" x14ac:dyDescent="0.4">
      <c r="A32" s="2514"/>
      <c r="B32" s="2516"/>
      <c r="C32" s="142" t="s">
        <v>206</v>
      </c>
      <c r="D32" s="143">
        <v>3</v>
      </c>
      <c r="E32" s="150">
        <v>1</v>
      </c>
      <c r="F32" s="151">
        <v>0.69299999999999995</v>
      </c>
      <c r="G32" s="135">
        <f>F32/E32</f>
        <v>0.69299999999999995</v>
      </c>
      <c r="H32" s="1618">
        <f t="shared" si="6"/>
        <v>0.69299999999999995</v>
      </c>
      <c r="I32" s="155" t="s">
        <v>1075</v>
      </c>
      <c r="J32" s="120" t="s">
        <v>207</v>
      </c>
    </row>
    <row r="33" spans="1:10" ht="15" thickBot="1" x14ac:dyDescent="0.4">
      <c r="A33" s="156"/>
      <c r="B33" s="157"/>
      <c r="C33" s="157"/>
      <c r="D33" s="158"/>
      <c r="E33" s="159"/>
      <c r="F33" s="1620" t="s">
        <v>25</v>
      </c>
      <c r="G33" s="115" t="s">
        <v>636</v>
      </c>
      <c r="H33" s="115" t="s">
        <v>636</v>
      </c>
      <c r="I33" s="1622">
        <f>AVERAGE(H30:H32)</f>
        <v>0.78149999999999997</v>
      </c>
      <c r="J33" s="120"/>
    </row>
    <row r="34" spans="1:10" ht="15" thickBot="1" x14ac:dyDescent="0.4">
      <c r="A34" s="156"/>
      <c r="B34" s="157"/>
      <c r="C34" s="157"/>
      <c r="D34" s="158"/>
      <c r="E34" s="159"/>
      <c r="F34" s="1621" t="s">
        <v>1087</v>
      </c>
      <c r="G34" s="115" t="s">
        <v>636</v>
      </c>
      <c r="H34" s="115">
        <f>AVERAGE(H5:H33)</f>
        <v>0.62036672085080102</v>
      </c>
      <c r="I34" s="115"/>
      <c r="J34">
        <f>31.2/45</f>
        <v>0.69333333333333336</v>
      </c>
    </row>
  </sheetData>
  <mergeCells count="18">
    <mergeCell ref="A23:I23"/>
    <mergeCell ref="A24:A26"/>
    <mergeCell ref="B24:B26"/>
    <mergeCell ref="A29:I29"/>
    <mergeCell ref="A30:A32"/>
    <mergeCell ref="B30:B32"/>
    <mergeCell ref="A19:A20"/>
    <mergeCell ref="B19:B20"/>
    <mergeCell ref="A1:I1"/>
    <mergeCell ref="A2:I2"/>
    <mergeCell ref="A3:I3"/>
    <mergeCell ref="A6:A8"/>
    <mergeCell ref="B6:B8"/>
    <mergeCell ref="A12:I12"/>
    <mergeCell ref="A13:A14"/>
    <mergeCell ref="B13:B14"/>
    <mergeCell ref="A16:A18"/>
    <mergeCell ref="B16:B18"/>
  </mergeCells>
  <pageMargins left="0.70866141732283472" right="0.70866141732283472" top="0.74803149606299213" bottom="0.74803149606299213" header="0.31496062992125984" footer="0.31496062992125984"/>
  <pageSetup scale="85" orientation="landscape" r:id="rId1"/>
  <rowBreaks count="1" manualBreakCount="1">
    <brk id="27" max="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7BFD-729D-47CC-8FBA-BD024100850E}">
  <sheetPr>
    <tabColor theme="9" tint="0.39997558519241921"/>
  </sheetPr>
  <dimension ref="A1:J71"/>
  <sheetViews>
    <sheetView topLeftCell="C62" zoomScaleNormal="100" workbookViewId="0">
      <selection activeCell="I71" sqref="I71"/>
    </sheetView>
  </sheetViews>
  <sheetFormatPr defaultRowHeight="14.5" x14ac:dyDescent="0.35"/>
  <cols>
    <col min="2" max="2" width="36.54296875" customWidth="1"/>
    <col min="3" max="3" width="27.81640625" customWidth="1"/>
    <col min="4" max="4" width="12" customWidth="1"/>
    <col min="5" max="5" width="14.1796875" customWidth="1"/>
    <col min="6" max="6" width="14.453125" customWidth="1"/>
    <col min="7" max="8" width="15.1796875" customWidth="1"/>
    <col min="9" max="9" width="35.36328125" customWidth="1"/>
  </cols>
  <sheetData>
    <row r="1" spans="1:10" ht="19.5" customHeight="1" x14ac:dyDescent="0.35">
      <c r="A1" s="2495" t="s">
        <v>1487</v>
      </c>
      <c r="B1" s="2495"/>
      <c r="C1" s="2495"/>
      <c r="D1" s="2495"/>
      <c r="E1" s="2495"/>
      <c r="F1" s="2495"/>
      <c r="G1" s="2495"/>
      <c r="H1" s="2495"/>
      <c r="I1" s="2495"/>
      <c r="J1" s="2495"/>
    </row>
    <row r="2" spans="1:10" ht="16" customHeight="1" thickBot="1" x14ac:dyDescent="0.5">
      <c r="A2" s="2496" t="s">
        <v>1029</v>
      </c>
      <c r="B2" s="2496"/>
      <c r="C2" s="2496"/>
      <c r="D2" s="2496"/>
      <c r="E2" s="2496"/>
      <c r="F2" s="2496"/>
      <c r="G2" s="2496"/>
      <c r="H2" s="2496"/>
      <c r="I2" s="2496"/>
      <c r="J2" s="2496"/>
    </row>
    <row r="3" spans="1:10" ht="47" thickBot="1" x14ac:dyDescent="0.4">
      <c r="A3" s="1" t="s">
        <v>2</v>
      </c>
      <c r="B3" s="2" t="s">
        <v>3</v>
      </c>
      <c r="C3" s="3" t="s">
        <v>4</v>
      </c>
      <c r="D3" s="3" t="s">
        <v>5</v>
      </c>
      <c r="E3" s="3" t="s">
        <v>6</v>
      </c>
      <c r="F3" s="3" t="s">
        <v>7</v>
      </c>
      <c r="G3" s="3" t="s">
        <v>8</v>
      </c>
      <c r="H3" s="3" t="s">
        <v>1488</v>
      </c>
      <c r="I3" s="4" t="s">
        <v>9</v>
      </c>
    </row>
    <row r="4" spans="1:10" ht="16" thickBot="1" x14ac:dyDescent="0.4">
      <c r="A4" s="2072" t="s">
        <v>1</v>
      </c>
      <c r="B4" s="2073"/>
      <c r="C4" s="2073"/>
      <c r="D4" s="2073"/>
      <c r="E4" s="2073"/>
      <c r="F4" s="2073"/>
      <c r="G4" s="2073"/>
      <c r="H4" s="2073"/>
      <c r="I4" s="2074"/>
    </row>
    <row r="5" spans="1:10" ht="16" thickBot="1" x14ac:dyDescent="0.4">
      <c r="A5" s="1"/>
      <c r="B5" s="2"/>
      <c r="C5" s="3"/>
      <c r="D5" s="3"/>
      <c r="E5" s="3"/>
      <c r="F5" s="3"/>
      <c r="G5" s="3"/>
      <c r="H5" s="3"/>
      <c r="I5" s="4"/>
    </row>
    <row r="6" spans="1:10" ht="62" x14ac:dyDescent="0.35">
      <c r="A6" s="5">
        <v>1</v>
      </c>
      <c r="B6" s="6" t="s">
        <v>10</v>
      </c>
      <c r="C6" s="7" t="s">
        <v>11</v>
      </c>
      <c r="D6" s="8">
        <v>1</v>
      </c>
      <c r="E6" s="8">
        <v>10</v>
      </c>
      <c r="F6" s="8">
        <v>7</v>
      </c>
      <c r="G6" s="9">
        <f>F6/E6</f>
        <v>0.7</v>
      </c>
      <c r="H6" s="1623">
        <f>G6</f>
        <v>0.7</v>
      </c>
      <c r="I6" s="10" t="s">
        <v>12</v>
      </c>
    </row>
    <row r="7" spans="1:10" ht="31" x14ac:dyDescent="0.35">
      <c r="A7" s="2517">
        <v>2</v>
      </c>
      <c r="B7" s="11" t="s">
        <v>13</v>
      </c>
      <c r="C7" s="12" t="s">
        <v>14</v>
      </c>
      <c r="D7" s="13">
        <v>2</v>
      </c>
      <c r="E7" s="14">
        <v>15</v>
      </c>
      <c r="F7" s="15">
        <v>15.45</v>
      </c>
      <c r="G7" s="9">
        <f t="shared" ref="G7:G12" si="0">F7/E7</f>
        <v>1.03</v>
      </c>
      <c r="H7" s="1623">
        <v>1.01</v>
      </c>
      <c r="I7" s="10" t="s">
        <v>15</v>
      </c>
    </row>
    <row r="8" spans="1:10" ht="31" x14ac:dyDescent="0.35">
      <c r="A8" s="2517"/>
      <c r="B8" s="6"/>
      <c r="C8" s="12" t="s">
        <v>16</v>
      </c>
      <c r="D8" s="13">
        <v>3</v>
      </c>
      <c r="E8" s="14">
        <v>15</v>
      </c>
      <c r="F8" s="14">
        <v>8</v>
      </c>
      <c r="G8" s="9">
        <f t="shared" si="0"/>
        <v>0.53333333333333333</v>
      </c>
      <c r="H8" s="1623">
        <f t="shared" ref="H8:H10" si="1">G8</f>
        <v>0.53333333333333333</v>
      </c>
      <c r="I8" s="10" t="s">
        <v>15</v>
      </c>
    </row>
    <row r="9" spans="1:10" ht="31" x14ac:dyDescent="0.35">
      <c r="A9" s="2517">
        <v>3</v>
      </c>
      <c r="B9" s="11" t="s">
        <v>17</v>
      </c>
      <c r="C9" s="12" t="s">
        <v>14</v>
      </c>
      <c r="D9" s="13">
        <v>4</v>
      </c>
      <c r="E9" s="14">
        <v>5</v>
      </c>
      <c r="F9" s="14">
        <v>3</v>
      </c>
      <c r="G9" s="9">
        <f t="shared" si="0"/>
        <v>0.6</v>
      </c>
      <c r="H9" s="1623">
        <f t="shared" si="1"/>
        <v>0.6</v>
      </c>
      <c r="I9" s="10" t="s">
        <v>15</v>
      </c>
    </row>
    <row r="10" spans="1:10" ht="31" x14ac:dyDescent="0.35">
      <c r="A10" s="2517"/>
      <c r="B10" s="6"/>
      <c r="C10" s="12" t="s">
        <v>18</v>
      </c>
      <c r="D10" s="13">
        <v>5</v>
      </c>
      <c r="E10" s="13">
        <v>700</v>
      </c>
      <c r="F10" s="13">
        <v>600</v>
      </c>
      <c r="G10" s="9">
        <f t="shared" si="0"/>
        <v>0.8571428571428571</v>
      </c>
      <c r="H10" s="1623">
        <f t="shared" si="1"/>
        <v>0.8571428571428571</v>
      </c>
      <c r="I10" s="10" t="s">
        <v>19</v>
      </c>
    </row>
    <row r="11" spans="1:10" ht="29" x14ac:dyDescent="0.35">
      <c r="A11" s="2534">
        <v>4</v>
      </c>
      <c r="B11" s="2544" t="s">
        <v>20</v>
      </c>
      <c r="C11" s="16" t="s">
        <v>21</v>
      </c>
      <c r="D11" s="17">
        <v>6</v>
      </c>
      <c r="E11" s="18">
        <v>28</v>
      </c>
      <c r="F11" s="18">
        <v>135</v>
      </c>
      <c r="G11" s="9">
        <f t="shared" si="0"/>
        <v>4.8214285714285712</v>
      </c>
      <c r="H11" s="1623">
        <v>1.01</v>
      </c>
      <c r="I11" s="19" t="s">
        <v>22</v>
      </c>
    </row>
    <row r="12" spans="1:10" ht="47" thickBot="1" x14ac:dyDescent="0.4">
      <c r="A12" s="2543"/>
      <c r="B12" s="2545"/>
      <c r="C12" s="20" t="s">
        <v>23</v>
      </c>
      <c r="D12" s="17">
        <v>7</v>
      </c>
      <c r="E12" s="18">
        <v>12</v>
      </c>
      <c r="F12" s="18">
        <v>107</v>
      </c>
      <c r="G12" s="21">
        <f t="shared" si="0"/>
        <v>8.9166666666666661</v>
      </c>
      <c r="H12" s="1623">
        <v>1.01</v>
      </c>
      <c r="I12" s="19" t="s">
        <v>24</v>
      </c>
    </row>
    <row r="13" spans="1:10" ht="16" thickBot="1" x14ac:dyDescent="0.4">
      <c r="A13" s="22"/>
      <c r="B13" s="23"/>
      <c r="C13" s="24" t="s">
        <v>25</v>
      </c>
      <c r="D13" s="23"/>
      <c r="E13" s="23"/>
      <c r="F13" s="23"/>
      <c r="G13" s="1625" t="s">
        <v>8</v>
      </c>
      <c r="H13" s="1623" t="s">
        <v>636</v>
      </c>
      <c r="I13" s="1626">
        <f>AVERAGE(H6:H12)</f>
        <v>0.81721088435374145</v>
      </c>
    </row>
    <row r="14" spans="1:10" ht="16" thickBot="1" x14ac:dyDescent="0.4">
      <c r="A14" s="25"/>
      <c r="B14" s="25"/>
      <c r="C14" s="25"/>
      <c r="D14" s="25"/>
      <c r="E14" s="25"/>
      <c r="F14" s="25"/>
      <c r="G14" s="25"/>
      <c r="H14" s="25"/>
      <c r="I14" s="25"/>
    </row>
    <row r="15" spans="1:10" ht="16" thickBot="1" x14ac:dyDescent="0.4">
      <c r="A15" s="2072" t="s">
        <v>26</v>
      </c>
      <c r="B15" s="2073"/>
      <c r="C15" s="2073"/>
      <c r="D15" s="2073"/>
      <c r="E15" s="2073"/>
      <c r="F15" s="2073"/>
      <c r="G15" s="2073"/>
      <c r="H15" s="2073"/>
      <c r="I15" s="2074"/>
    </row>
    <row r="16" spans="1:10" ht="77.5" x14ac:dyDescent="0.35">
      <c r="A16" s="5">
        <v>1</v>
      </c>
      <c r="B16" s="26" t="s">
        <v>27</v>
      </c>
      <c r="C16" s="27" t="s">
        <v>28</v>
      </c>
      <c r="D16" s="28">
        <v>1</v>
      </c>
      <c r="E16" s="29">
        <v>4500000</v>
      </c>
      <c r="F16" s="29">
        <v>5500000</v>
      </c>
      <c r="G16" s="30">
        <f t="shared" ref="G16:G22" si="2">F16/E16</f>
        <v>1.2222222222222223</v>
      </c>
      <c r="H16" s="1623">
        <v>1.01</v>
      </c>
      <c r="I16" s="31" t="s">
        <v>29</v>
      </c>
    </row>
    <row r="17" spans="1:9" ht="43.5" x14ac:dyDescent="0.35">
      <c r="A17" s="5">
        <v>2</v>
      </c>
      <c r="B17" s="26" t="s">
        <v>30</v>
      </c>
      <c r="C17" s="27" t="s">
        <v>31</v>
      </c>
      <c r="D17" s="28">
        <v>2</v>
      </c>
      <c r="E17" s="13">
        <v>4</v>
      </c>
      <c r="F17" s="28">
        <v>4</v>
      </c>
      <c r="G17" s="30">
        <f t="shared" si="2"/>
        <v>1</v>
      </c>
      <c r="H17" s="1623">
        <f t="shared" ref="H17:H22" si="3">G17</f>
        <v>1</v>
      </c>
      <c r="I17" s="31" t="s">
        <v>32</v>
      </c>
    </row>
    <row r="18" spans="1:9" ht="31" x14ac:dyDescent="0.35">
      <c r="A18" s="5">
        <v>3</v>
      </c>
      <c r="B18" s="26" t="s">
        <v>33</v>
      </c>
      <c r="C18" s="27" t="s">
        <v>34</v>
      </c>
      <c r="D18" s="28">
        <v>3</v>
      </c>
      <c r="E18" s="13">
        <v>70</v>
      </c>
      <c r="F18" s="28">
        <v>68</v>
      </c>
      <c r="G18" s="30">
        <f t="shared" si="2"/>
        <v>0.97142857142857142</v>
      </c>
      <c r="H18" s="1623">
        <f t="shared" si="3"/>
        <v>0.97142857142857142</v>
      </c>
      <c r="I18" s="31" t="s">
        <v>35</v>
      </c>
    </row>
    <row r="19" spans="1:9" ht="31" x14ac:dyDescent="0.35">
      <c r="A19" s="5">
        <v>4</v>
      </c>
      <c r="B19" s="27" t="s">
        <v>36</v>
      </c>
      <c r="C19" s="32" t="s">
        <v>37</v>
      </c>
      <c r="D19" s="28">
        <v>4</v>
      </c>
      <c r="E19" s="13">
        <v>90</v>
      </c>
      <c r="F19" s="28">
        <v>50</v>
      </c>
      <c r="G19" s="30">
        <f t="shared" si="2"/>
        <v>0.55555555555555558</v>
      </c>
      <c r="H19" s="1623">
        <f t="shared" si="3"/>
        <v>0.55555555555555558</v>
      </c>
      <c r="I19" s="31" t="s">
        <v>35</v>
      </c>
    </row>
    <row r="20" spans="1:9" ht="58" x14ac:dyDescent="0.35">
      <c r="A20" s="5">
        <v>5</v>
      </c>
      <c r="B20" s="33" t="s">
        <v>38</v>
      </c>
      <c r="C20" s="27" t="s">
        <v>39</v>
      </c>
      <c r="D20" s="28">
        <v>5</v>
      </c>
      <c r="E20" s="13">
        <v>55</v>
      </c>
      <c r="F20" s="28">
        <v>55</v>
      </c>
      <c r="G20" s="30">
        <f t="shared" si="2"/>
        <v>1</v>
      </c>
      <c r="H20" s="1623">
        <f t="shared" si="3"/>
        <v>1</v>
      </c>
      <c r="I20" s="31" t="s">
        <v>40</v>
      </c>
    </row>
    <row r="21" spans="1:9" ht="43.5" x14ac:dyDescent="0.35">
      <c r="A21" s="5">
        <v>6</v>
      </c>
      <c r="B21" s="12" t="s">
        <v>41</v>
      </c>
      <c r="C21" s="33" t="s">
        <v>42</v>
      </c>
      <c r="D21" s="28">
        <v>6</v>
      </c>
      <c r="E21" s="13">
        <v>93</v>
      </c>
      <c r="F21" s="13">
        <v>88</v>
      </c>
      <c r="G21" s="30">
        <f t="shared" si="2"/>
        <v>0.94623655913978499</v>
      </c>
      <c r="H21" s="1623">
        <f t="shared" si="3"/>
        <v>0.94623655913978499</v>
      </c>
      <c r="I21" s="31" t="s">
        <v>40</v>
      </c>
    </row>
    <row r="22" spans="1:9" ht="44" thickBot="1" x14ac:dyDescent="0.4">
      <c r="A22" s="34">
        <v>7</v>
      </c>
      <c r="B22" s="20" t="s">
        <v>43</v>
      </c>
      <c r="C22" s="35" t="s">
        <v>44</v>
      </c>
      <c r="D22" s="17">
        <v>7</v>
      </c>
      <c r="E22" s="18">
        <v>400</v>
      </c>
      <c r="F22" s="17">
        <v>300</v>
      </c>
      <c r="G22" s="36">
        <f t="shared" si="2"/>
        <v>0.75</v>
      </c>
      <c r="H22" s="1623">
        <f t="shared" si="3"/>
        <v>0.75</v>
      </c>
      <c r="I22" s="37" t="s">
        <v>40</v>
      </c>
    </row>
    <row r="23" spans="1:9" ht="16" thickBot="1" x14ac:dyDescent="0.4">
      <c r="A23" s="38"/>
      <c r="B23" s="39"/>
      <c r="C23" s="39" t="s">
        <v>25</v>
      </c>
      <c r="D23" s="39"/>
      <c r="E23" s="40"/>
      <c r="F23" s="23"/>
      <c r="G23" s="1625" t="s">
        <v>8</v>
      </c>
      <c r="H23" s="1623" t="s">
        <v>636</v>
      </c>
      <c r="I23" s="1626">
        <f>AVERAGE(H16:H22)</f>
        <v>0.89046009801770165</v>
      </c>
    </row>
    <row r="24" spans="1:9" ht="16" thickBot="1" x14ac:dyDescent="0.4">
      <c r="A24" s="25"/>
      <c r="B24" s="41"/>
      <c r="C24" s="41"/>
      <c r="D24" s="41"/>
      <c r="E24" s="42"/>
      <c r="F24" s="42"/>
      <c r="G24" s="43"/>
      <c r="H24" s="43"/>
      <c r="I24" s="25"/>
    </row>
    <row r="25" spans="1:9" ht="16" thickBot="1" x14ac:dyDescent="0.4">
      <c r="A25" s="2521" t="s">
        <v>45</v>
      </c>
      <c r="B25" s="2522"/>
      <c r="C25" s="2522"/>
      <c r="D25" s="2522"/>
      <c r="E25" s="2522"/>
      <c r="F25" s="2522"/>
      <c r="G25" s="2522"/>
      <c r="H25" s="2522"/>
      <c r="I25" s="2523"/>
    </row>
    <row r="26" spans="1:9" ht="58" x14ac:dyDescent="0.35">
      <c r="A26" s="2524">
        <v>1</v>
      </c>
      <c r="B26" s="2527" t="s">
        <v>46</v>
      </c>
      <c r="C26" s="27" t="s">
        <v>47</v>
      </c>
      <c r="D26" s="28">
        <v>1</v>
      </c>
      <c r="E26" s="13">
        <v>3</v>
      </c>
      <c r="F26" s="28">
        <v>1</v>
      </c>
      <c r="G26" s="44">
        <f>F26/E26</f>
        <v>0.33333333333333331</v>
      </c>
      <c r="H26" s="1623">
        <f t="shared" ref="H26:H28" si="4">G26</f>
        <v>0.33333333333333331</v>
      </c>
      <c r="I26" s="10" t="s">
        <v>48</v>
      </c>
    </row>
    <row r="27" spans="1:9" ht="46.5" x14ac:dyDescent="0.35">
      <c r="A27" s="2525"/>
      <c r="B27" s="2370"/>
      <c r="C27" s="27" t="s">
        <v>49</v>
      </c>
      <c r="D27" s="28">
        <v>2</v>
      </c>
      <c r="E27" s="29">
        <v>5430000000</v>
      </c>
      <c r="F27" s="29">
        <v>20268325888</v>
      </c>
      <c r="G27" s="44">
        <f>F27/E27</f>
        <v>3.7326567012891343</v>
      </c>
      <c r="H27" s="1623">
        <v>1.01</v>
      </c>
      <c r="I27" s="31" t="s">
        <v>1496</v>
      </c>
    </row>
    <row r="28" spans="1:9" ht="44" thickBot="1" x14ac:dyDescent="0.4">
      <c r="A28" s="2526"/>
      <c r="B28" s="2528"/>
      <c r="C28" s="45" t="s">
        <v>50</v>
      </c>
      <c r="D28" s="28">
        <v>3</v>
      </c>
      <c r="E28" s="46">
        <v>1</v>
      </c>
      <c r="F28" s="47">
        <v>1</v>
      </c>
      <c r="G28" s="44">
        <f>F28/E28</f>
        <v>1</v>
      </c>
      <c r="H28" s="1623">
        <f t="shared" si="4"/>
        <v>1</v>
      </c>
      <c r="I28" s="31" t="s">
        <v>51</v>
      </c>
    </row>
    <row r="29" spans="1:9" ht="16" thickBot="1" x14ac:dyDescent="0.4">
      <c r="A29" s="48"/>
      <c r="B29" s="27"/>
      <c r="C29" s="27"/>
      <c r="D29" s="49"/>
      <c r="E29" s="49"/>
      <c r="F29" s="23"/>
      <c r="G29" s="1625" t="s">
        <v>8</v>
      </c>
      <c r="H29" s="1623" t="s">
        <v>636</v>
      </c>
      <c r="I29" s="1626">
        <f>AVERAGE(H26:H28)</f>
        <v>0.78111111111111109</v>
      </c>
    </row>
    <row r="30" spans="1:9" ht="15.5" x14ac:dyDescent="0.35">
      <c r="A30" s="50"/>
      <c r="B30" s="51"/>
      <c r="C30" s="52"/>
      <c r="D30" s="52"/>
      <c r="E30" s="52"/>
      <c r="F30" s="53"/>
      <c r="G30" s="54"/>
      <c r="H30" s="1624"/>
      <c r="I30" s="25"/>
    </row>
    <row r="31" spans="1:9" ht="16" thickBot="1" x14ac:dyDescent="0.4">
      <c r="A31" s="2529"/>
      <c r="B31" s="2529"/>
      <c r="C31" s="2529"/>
      <c r="D31" s="2529"/>
      <c r="E31" s="2529"/>
      <c r="F31" s="2529"/>
      <c r="G31" s="2529"/>
      <c r="H31" s="2529"/>
      <c r="I31" s="2530"/>
    </row>
    <row r="32" spans="1:9" ht="16" thickBot="1" x14ac:dyDescent="0.4">
      <c r="A32" s="2531" t="s">
        <v>1610</v>
      </c>
      <c r="B32" s="2532"/>
      <c r="C32" s="2532"/>
      <c r="D32" s="2532"/>
      <c r="E32" s="2532"/>
      <c r="F32" s="2532"/>
      <c r="G32" s="2532"/>
      <c r="H32" s="2532"/>
      <c r="I32" s="2533"/>
    </row>
    <row r="33" spans="1:10" ht="46.5" x14ac:dyDescent="0.35">
      <c r="A33" s="55">
        <v>1</v>
      </c>
      <c r="B33" s="6" t="s">
        <v>52</v>
      </c>
      <c r="C33" s="56" t="s">
        <v>53</v>
      </c>
      <c r="D33" s="8">
        <v>1</v>
      </c>
      <c r="E33" s="14">
        <v>24000</v>
      </c>
      <c r="F33" s="14">
        <v>19981</v>
      </c>
      <c r="G33" s="30">
        <f t="shared" ref="G33:G43" si="5">F33/E33</f>
        <v>0.83254166666666662</v>
      </c>
      <c r="H33" s="1623">
        <f t="shared" ref="H33:H48" si="6">G33</f>
        <v>0.83254166666666662</v>
      </c>
      <c r="I33" s="31" t="s">
        <v>54</v>
      </c>
    </row>
    <row r="34" spans="1:10" ht="31" x14ac:dyDescent="0.35">
      <c r="A34" s="5">
        <v>2</v>
      </c>
      <c r="B34" s="26" t="s">
        <v>55</v>
      </c>
      <c r="C34" s="33" t="s">
        <v>56</v>
      </c>
      <c r="D34" s="28">
        <v>2</v>
      </c>
      <c r="E34" s="14">
        <v>200000</v>
      </c>
      <c r="F34" s="14">
        <v>175000</v>
      </c>
      <c r="G34" s="30">
        <f t="shared" si="5"/>
        <v>0.875</v>
      </c>
      <c r="H34" s="1623">
        <f t="shared" si="6"/>
        <v>0.875</v>
      </c>
      <c r="I34" s="31" t="s">
        <v>57</v>
      </c>
    </row>
    <row r="35" spans="1:10" ht="43.5" x14ac:dyDescent="0.35">
      <c r="A35" s="5">
        <v>3</v>
      </c>
      <c r="B35" s="26" t="s">
        <v>58</v>
      </c>
      <c r="C35" s="33" t="s">
        <v>59</v>
      </c>
      <c r="D35" s="28">
        <v>3</v>
      </c>
      <c r="E35" s="13">
        <v>38</v>
      </c>
      <c r="F35" s="13">
        <v>32</v>
      </c>
      <c r="G35" s="1627">
        <f t="shared" si="5"/>
        <v>0.84210526315789469</v>
      </c>
      <c r="H35" s="1628">
        <v>0</v>
      </c>
      <c r="I35" s="58" t="s">
        <v>1495</v>
      </c>
      <c r="J35" t="s">
        <v>1494</v>
      </c>
    </row>
    <row r="36" spans="1:10" ht="31" x14ac:dyDescent="0.35">
      <c r="A36" s="5">
        <v>4</v>
      </c>
      <c r="B36" s="26" t="s">
        <v>60</v>
      </c>
      <c r="C36" s="33" t="s">
        <v>61</v>
      </c>
      <c r="D36" s="28">
        <v>4</v>
      </c>
      <c r="E36" s="13">
        <v>27</v>
      </c>
      <c r="F36" s="13">
        <v>26</v>
      </c>
      <c r="G36" s="30">
        <f t="shared" si="5"/>
        <v>0.96296296296296291</v>
      </c>
      <c r="H36" s="1623">
        <f t="shared" si="6"/>
        <v>0.96296296296296291</v>
      </c>
      <c r="I36" s="31" t="s">
        <v>62</v>
      </c>
    </row>
    <row r="37" spans="1:10" ht="43.5" x14ac:dyDescent="0.35">
      <c r="A37" s="5">
        <v>5</v>
      </c>
      <c r="B37" s="26" t="s">
        <v>63</v>
      </c>
      <c r="C37" s="33" t="s">
        <v>64</v>
      </c>
      <c r="D37" s="28">
        <v>5</v>
      </c>
      <c r="E37" s="13">
        <v>8</v>
      </c>
      <c r="F37" s="13">
        <v>3</v>
      </c>
      <c r="G37" s="30">
        <f t="shared" si="5"/>
        <v>0.375</v>
      </c>
      <c r="H37" s="1623">
        <f t="shared" si="6"/>
        <v>0.375</v>
      </c>
      <c r="I37" s="31" t="s">
        <v>65</v>
      </c>
    </row>
    <row r="38" spans="1:10" ht="31" x14ac:dyDescent="0.35">
      <c r="A38" s="5">
        <v>6</v>
      </c>
      <c r="B38" s="26" t="s">
        <v>66</v>
      </c>
      <c r="C38" s="33" t="s">
        <v>67</v>
      </c>
      <c r="D38" s="28">
        <v>6</v>
      </c>
      <c r="E38" s="13">
        <v>10</v>
      </c>
      <c r="F38" s="57">
        <v>2</v>
      </c>
      <c r="G38" s="30">
        <v>0</v>
      </c>
      <c r="H38" s="1623">
        <f t="shared" si="6"/>
        <v>0</v>
      </c>
      <c r="I38" s="58" t="s">
        <v>68</v>
      </c>
    </row>
    <row r="39" spans="1:10" ht="62" x14ac:dyDescent="0.35">
      <c r="A39" s="5">
        <v>7</v>
      </c>
      <c r="B39" s="59" t="s">
        <v>69</v>
      </c>
      <c r="C39" s="33" t="s">
        <v>70</v>
      </c>
      <c r="D39" s="28">
        <v>7</v>
      </c>
      <c r="E39" s="13">
        <v>20</v>
      </c>
      <c r="F39" s="13">
        <v>85</v>
      </c>
      <c r="G39" s="30">
        <f t="shared" si="5"/>
        <v>4.25</v>
      </c>
      <c r="H39" s="1623">
        <v>1.01</v>
      </c>
      <c r="I39" s="31" t="s">
        <v>71</v>
      </c>
    </row>
    <row r="40" spans="1:10" ht="31" x14ac:dyDescent="0.35">
      <c r="A40" s="5">
        <v>8</v>
      </c>
      <c r="B40" s="60" t="s">
        <v>72</v>
      </c>
      <c r="C40" s="33" t="s">
        <v>73</v>
      </c>
      <c r="D40" s="28">
        <v>8</v>
      </c>
      <c r="E40" s="13">
        <v>2</v>
      </c>
      <c r="F40" s="13">
        <v>0</v>
      </c>
      <c r="G40" s="30">
        <f t="shared" si="5"/>
        <v>0</v>
      </c>
      <c r="H40" s="1623">
        <f t="shared" si="6"/>
        <v>0</v>
      </c>
      <c r="I40" s="58" t="s">
        <v>1493</v>
      </c>
    </row>
    <row r="41" spans="1:10" ht="77.5" x14ac:dyDescent="0.35">
      <c r="A41" s="5">
        <v>9</v>
      </c>
      <c r="B41" s="26" t="s">
        <v>74</v>
      </c>
      <c r="C41" s="61" t="s">
        <v>75</v>
      </c>
      <c r="D41" s="28">
        <v>9</v>
      </c>
      <c r="E41" s="13">
        <v>40</v>
      </c>
      <c r="F41" s="13">
        <v>39</v>
      </c>
      <c r="G41" s="30">
        <f t="shared" si="5"/>
        <v>0.97499999999999998</v>
      </c>
      <c r="H41" s="1623">
        <f t="shared" si="6"/>
        <v>0.97499999999999998</v>
      </c>
      <c r="I41" s="62" t="s">
        <v>76</v>
      </c>
    </row>
    <row r="42" spans="1:10" ht="31" x14ac:dyDescent="0.35">
      <c r="A42" s="5">
        <v>10</v>
      </c>
      <c r="B42" s="11" t="s">
        <v>77</v>
      </c>
      <c r="C42" s="20" t="s">
        <v>78</v>
      </c>
      <c r="D42" s="17">
        <v>10</v>
      </c>
      <c r="E42" s="13">
        <v>50</v>
      </c>
      <c r="F42" s="13">
        <v>50</v>
      </c>
      <c r="G42" s="30">
        <f t="shared" si="5"/>
        <v>1</v>
      </c>
      <c r="H42" s="1623">
        <f t="shared" si="6"/>
        <v>1</v>
      </c>
      <c r="I42" s="31" t="s">
        <v>79</v>
      </c>
    </row>
    <row r="43" spans="1:10" ht="43.5" x14ac:dyDescent="0.35">
      <c r="A43" s="5">
        <v>11</v>
      </c>
      <c r="B43" s="26" t="s">
        <v>80</v>
      </c>
      <c r="C43" s="33" t="s">
        <v>81</v>
      </c>
      <c r="D43" s="28">
        <v>11</v>
      </c>
      <c r="E43" s="13">
        <v>30</v>
      </c>
      <c r="F43" s="13">
        <v>35</v>
      </c>
      <c r="G43" s="30">
        <f t="shared" si="5"/>
        <v>1.1666666666666667</v>
      </c>
      <c r="H43" s="1623">
        <v>1.01</v>
      </c>
      <c r="I43" s="31" t="s">
        <v>79</v>
      </c>
    </row>
    <row r="44" spans="1:10" ht="15.5" x14ac:dyDescent="0.35">
      <c r="A44" s="2534">
        <v>12</v>
      </c>
      <c r="B44" s="2518" t="s">
        <v>82</v>
      </c>
      <c r="C44" s="63" t="s">
        <v>83</v>
      </c>
      <c r="D44" s="64">
        <v>12</v>
      </c>
      <c r="E44" s="64"/>
      <c r="F44" s="64"/>
      <c r="G44" s="30"/>
      <c r="H44" s="1623" t="s">
        <v>1420</v>
      </c>
      <c r="I44" s="31" t="s">
        <v>1492</v>
      </c>
    </row>
    <row r="45" spans="1:10" ht="31" x14ac:dyDescent="0.35">
      <c r="A45" s="2525"/>
      <c r="B45" s="2519"/>
      <c r="C45" s="65" t="s">
        <v>84</v>
      </c>
      <c r="D45" s="66">
        <v>13</v>
      </c>
      <c r="E45" s="66">
        <v>115</v>
      </c>
      <c r="F45" s="66">
        <v>217</v>
      </c>
      <c r="G45" s="30">
        <f>F45/E45</f>
        <v>1.8869565217391304</v>
      </c>
      <c r="H45" s="1623">
        <v>1.01</v>
      </c>
      <c r="I45" s="31" t="s">
        <v>79</v>
      </c>
    </row>
    <row r="46" spans="1:10" ht="43.5" x14ac:dyDescent="0.35">
      <c r="A46" s="2525"/>
      <c r="B46" s="2519"/>
      <c r="C46" s="12" t="s">
        <v>85</v>
      </c>
      <c r="D46" s="13">
        <v>14</v>
      </c>
      <c r="E46" s="14">
        <v>43</v>
      </c>
      <c r="F46" s="14">
        <v>97</v>
      </c>
      <c r="G46" s="30">
        <f>F46/E46</f>
        <v>2.2558139534883721</v>
      </c>
      <c r="H46" s="1623">
        <v>1.01</v>
      </c>
      <c r="I46" s="31" t="s">
        <v>79</v>
      </c>
    </row>
    <row r="47" spans="1:10" ht="77.5" x14ac:dyDescent="0.35">
      <c r="A47" s="2526"/>
      <c r="B47" s="2519"/>
      <c r="C47" s="67" t="s">
        <v>86</v>
      </c>
      <c r="D47" s="18">
        <v>15</v>
      </c>
      <c r="E47" s="68">
        <v>1211732</v>
      </c>
      <c r="F47" s="68">
        <v>849204</v>
      </c>
      <c r="G47" s="30">
        <f>F47/E47</f>
        <v>0.7008183327666514</v>
      </c>
      <c r="H47" s="1623">
        <f t="shared" si="6"/>
        <v>0.7008183327666514</v>
      </c>
      <c r="I47" s="31" t="s">
        <v>87</v>
      </c>
    </row>
    <row r="48" spans="1:10" ht="46.5" x14ac:dyDescent="0.35">
      <c r="A48" s="5">
        <v>13</v>
      </c>
      <c r="B48" s="69" t="s">
        <v>88</v>
      </c>
      <c r="C48" s="12" t="s">
        <v>89</v>
      </c>
      <c r="D48" s="13">
        <v>16</v>
      </c>
      <c r="E48" s="14">
        <v>100</v>
      </c>
      <c r="F48" s="70">
        <v>94</v>
      </c>
      <c r="G48" s="30">
        <f>F48/E48</f>
        <v>0.94</v>
      </c>
      <c r="H48" s="1623">
        <f t="shared" si="6"/>
        <v>0.94</v>
      </c>
      <c r="I48" s="31" t="s">
        <v>90</v>
      </c>
    </row>
    <row r="49" spans="1:9" ht="78" thickBot="1" x14ac:dyDescent="0.4">
      <c r="A49" s="34">
        <v>14</v>
      </c>
      <c r="B49" s="71" t="s">
        <v>91</v>
      </c>
      <c r="C49" s="67" t="s">
        <v>92</v>
      </c>
      <c r="D49" s="18">
        <v>17</v>
      </c>
      <c r="E49" s="68">
        <v>20</v>
      </c>
      <c r="F49" s="72">
        <v>229</v>
      </c>
      <c r="G49" s="36">
        <f>F49/E49</f>
        <v>11.45</v>
      </c>
      <c r="H49" s="1623">
        <v>1.01</v>
      </c>
      <c r="I49" s="37" t="s">
        <v>93</v>
      </c>
    </row>
    <row r="50" spans="1:9" ht="16" thickBot="1" x14ac:dyDescent="0.4">
      <c r="A50" s="73"/>
      <c r="B50" s="74"/>
      <c r="C50" s="39" t="s">
        <v>25</v>
      </c>
      <c r="D50" s="75"/>
      <c r="E50" s="76"/>
      <c r="F50" s="23"/>
      <c r="G50" s="1625" t="s">
        <v>8</v>
      </c>
      <c r="H50" s="1623" t="s">
        <v>636</v>
      </c>
      <c r="I50" s="1626">
        <f>AVERAGE(H33:H49)</f>
        <v>0.73195768514976745</v>
      </c>
    </row>
    <row r="51" spans="1:9" ht="15.5" x14ac:dyDescent="0.35">
      <c r="A51" s="78"/>
      <c r="B51" s="79"/>
      <c r="C51" s="79"/>
      <c r="D51" s="79"/>
      <c r="E51" s="79"/>
      <c r="F51" s="79"/>
      <c r="G51" s="79"/>
      <c r="H51" s="80"/>
      <c r="I51" s="80"/>
    </row>
    <row r="52" spans="1:9" ht="15.5" x14ac:dyDescent="0.35">
      <c r="A52" s="2535" t="s">
        <v>94</v>
      </c>
      <c r="B52" s="2535"/>
      <c r="C52" s="2535"/>
      <c r="D52" s="2535"/>
      <c r="E52" s="2535"/>
      <c r="F52" s="2535"/>
      <c r="G52" s="2535"/>
      <c r="H52" s="2535"/>
      <c r="I52" s="2536"/>
    </row>
    <row r="53" spans="1:9" ht="46.5" x14ac:dyDescent="0.35">
      <c r="A53" s="2526">
        <v>1</v>
      </c>
      <c r="B53" s="2537" t="s">
        <v>95</v>
      </c>
      <c r="C53" s="27" t="s">
        <v>96</v>
      </c>
      <c r="D53" s="28">
        <v>1</v>
      </c>
      <c r="E53" s="13">
        <v>700</v>
      </c>
      <c r="F53" s="13">
        <v>600</v>
      </c>
      <c r="G53" s="30">
        <f>F53/E53</f>
        <v>0.8571428571428571</v>
      </c>
      <c r="H53" s="1623">
        <f t="shared" ref="H53:H56" si="7">G53</f>
        <v>0.8571428571428571</v>
      </c>
      <c r="I53" s="81" t="s">
        <v>97</v>
      </c>
    </row>
    <row r="54" spans="1:9" ht="43.5" x14ac:dyDescent="0.35">
      <c r="A54" s="2517"/>
      <c r="B54" s="2538"/>
      <c r="C54" s="33" t="s">
        <v>98</v>
      </c>
      <c r="D54" s="28">
        <v>2</v>
      </c>
      <c r="E54" s="13">
        <v>30</v>
      </c>
      <c r="F54" s="13">
        <v>25</v>
      </c>
      <c r="G54" s="30">
        <f>F54/E54</f>
        <v>0.83333333333333337</v>
      </c>
      <c r="H54" s="1623">
        <f t="shared" si="7"/>
        <v>0.83333333333333337</v>
      </c>
      <c r="I54" s="81" t="s">
        <v>99</v>
      </c>
    </row>
    <row r="55" spans="1:9" ht="43.5" x14ac:dyDescent="0.35">
      <c r="A55" s="2517"/>
      <c r="B55" s="2539"/>
      <c r="C55" s="33" t="s">
        <v>100</v>
      </c>
      <c r="D55" s="28">
        <v>3</v>
      </c>
      <c r="E55" s="13">
        <v>50</v>
      </c>
      <c r="F55" s="13">
        <v>30</v>
      </c>
      <c r="G55" s="30">
        <f>F55/E55</f>
        <v>0.6</v>
      </c>
      <c r="H55" s="1623">
        <f t="shared" si="7"/>
        <v>0.6</v>
      </c>
      <c r="I55" s="81" t="s">
        <v>101</v>
      </c>
    </row>
    <row r="56" spans="1:9" ht="31.5" thickBot="1" x14ac:dyDescent="0.4">
      <c r="A56" s="82">
        <v>2</v>
      </c>
      <c r="B56" s="11" t="s">
        <v>102</v>
      </c>
      <c r="C56" s="20" t="s">
        <v>103</v>
      </c>
      <c r="D56" s="17">
        <v>4</v>
      </c>
      <c r="E56" s="83">
        <v>20</v>
      </c>
      <c r="F56" s="83">
        <v>13</v>
      </c>
      <c r="G56" s="36">
        <f>F56/E56</f>
        <v>0.65</v>
      </c>
      <c r="H56" s="1623">
        <f t="shared" si="7"/>
        <v>0.65</v>
      </c>
      <c r="I56" s="84" t="s">
        <v>104</v>
      </c>
    </row>
    <row r="57" spans="1:9" ht="16" thickBot="1" x14ac:dyDescent="0.4">
      <c r="A57" s="85"/>
      <c r="B57" s="86"/>
      <c r="C57" s="86" t="s">
        <v>25</v>
      </c>
      <c r="D57" s="86"/>
      <c r="E57" s="86"/>
      <c r="F57" s="23"/>
      <c r="G57" s="1625" t="s">
        <v>8</v>
      </c>
      <c r="H57" s="1623" t="s">
        <v>636</v>
      </c>
      <c r="I57" s="1626">
        <f>AVERAGE(H53:H56)</f>
        <v>0.73511904761904756</v>
      </c>
    </row>
    <row r="58" spans="1:9" ht="16" thickBot="1" x14ac:dyDescent="0.4">
      <c r="A58" s="78"/>
      <c r="B58" s="80"/>
      <c r="C58" s="80"/>
      <c r="D58" s="80"/>
      <c r="E58" s="80"/>
      <c r="F58" s="80"/>
      <c r="G58" s="80"/>
      <c r="H58" s="80"/>
      <c r="I58" s="80"/>
    </row>
    <row r="59" spans="1:9" ht="16" thickBot="1" x14ac:dyDescent="0.4">
      <c r="A59" s="2072" t="s">
        <v>105</v>
      </c>
      <c r="B59" s="2073"/>
      <c r="C59" s="2073"/>
      <c r="D59" s="2073"/>
      <c r="E59" s="2073"/>
      <c r="F59" s="2073"/>
      <c r="G59" s="2073"/>
      <c r="H59" s="2073"/>
      <c r="I59" s="2074"/>
    </row>
    <row r="60" spans="1:9" ht="16" thickBot="1" x14ac:dyDescent="0.4">
      <c r="A60" s="2540" t="s">
        <v>106</v>
      </c>
      <c r="B60" s="2541"/>
      <c r="C60" s="2541"/>
      <c r="D60" s="2541"/>
      <c r="E60" s="2541"/>
      <c r="F60" s="2541"/>
      <c r="G60" s="2541"/>
      <c r="H60" s="2541"/>
      <c r="I60" s="2542"/>
    </row>
    <row r="61" spans="1:9" ht="46.5" x14ac:dyDescent="0.35">
      <c r="A61" s="2526">
        <v>1</v>
      </c>
      <c r="B61" s="2519" t="s">
        <v>107</v>
      </c>
      <c r="C61" s="7" t="s">
        <v>108</v>
      </c>
      <c r="D61" s="8">
        <v>1</v>
      </c>
      <c r="E61" s="66">
        <v>1</v>
      </c>
      <c r="F61" s="8">
        <v>1</v>
      </c>
      <c r="G61" s="9">
        <f t="shared" ref="G61:G69" si="8">F61/E61</f>
        <v>1</v>
      </c>
      <c r="H61" s="1623">
        <f t="shared" ref="H61:H69" si="9">G61</f>
        <v>1</v>
      </c>
      <c r="I61" s="87" t="s">
        <v>1491</v>
      </c>
    </row>
    <row r="62" spans="1:9" ht="29" x14ac:dyDescent="0.35">
      <c r="A62" s="2517"/>
      <c r="B62" s="2520"/>
      <c r="C62" s="27" t="s">
        <v>109</v>
      </c>
      <c r="D62" s="28">
        <v>2</v>
      </c>
      <c r="E62" s="13">
        <v>10</v>
      </c>
      <c r="F62" s="28">
        <v>7</v>
      </c>
      <c r="G62" s="30">
        <f t="shared" si="8"/>
        <v>0.7</v>
      </c>
      <c r="H62" s="1623">
        <f t="shared" si="9"/>
        <v>0.7</v>
      </c>
      <c r="I62" s="81" t="s">
        <v>110</v>
      </c>
    </row>
    <row r="63" spans="1:9" ht="29" x14ac:dyDescent="0.35">
      <c r="A63" s="5">
        <v>2</v>
      </c>
      <c r="B63" s="69" t="s">
        <v>111</v>
      </c>
      <c r="C63" s="27" t="s">
        <v>112</v>
      </c>
      <c r="D63" s="28">
        <v>3</v>
      </c>
      <c r="E63" s="13">
        <v>2</v>
      </c>
      <c r="F63" s="28">
        <v>2</v>
      </c>
      <c r="G63" s="30">
        <f t="shared" si="8"/>
        <v>1</v>
      </c>
      <c r="H63" s="1623">
        <f t="shared" si="9"/>
        <v>1</v>
      </c>
      <c r="I63" s="81" t="s">
        <v>113</v>
      </c>
    </row>
    <row r="64" spans="1:9" ht="46.5" x14ac:dyDescent="0.35">
      <c r="A64" s="2517">
        <v>3</v>
      </c>
      <c r="B64" s="2518" t="s">
        <v>114</v>
      </c>
      <c r="C64" s="12" t="s">
        <v>115</v>
      </c>
      <c r="D64" s="13">
        <v>4</v>
      </c>
      <c r="E64" s="13">
        <v>60</v>
      </c>
      <c r="F64" s="13">
        <v>70</v>
      </c>
      <c r="G64" s="30">
        <f t="shared" si="8"/>
        <v>1.1666666666666667</v>
      </c>
      <c r="H64" s="1623">
        <v>1.01</v>
      </c>
      <c r="I64" s="81" t="s">
        <v>116</v>
      </c>
    </row>
    <row r="65" spans="1:9" ht="31" x14ac:dyDescent="0.35">
      <c r="A65" s="2517"/>
      <c r="B65" s="2519"/>
      <c r="C65" s="12" t="s">
        <v>117</v>
      </c>
      <c r="D65" s="13">
        <v>5</v>
      </c>
      <c r="E65" s="13">
        <v>50</v>
      </c>
      <c r="F65" s="13">
        <v>55</v>
      </c>
      <c r="G65" s="30">
        <f t="shared" si="8"/>
        <v>1.1000000000000001</v>
      </c>
      <c r="H65" s="1623">
        <v>1.01</v>
      </c>
      <c r="I65" s="81" t="s">
        <v>118</v>
      </c>
    </row>
    <row r="66" spans="1:9" ht="46.5" x14ac:dyDescent="0.35">
      <c r="A66" s="2517"/>
      <c r="B66" s="2519"/>
      <c r="C66" s="12" t="s">
        <v>119</v>
      </c>
      <c r="D66" s="13">
        <v>6</v>
      </c>
      <c r="E66" s="13">
        <v>40</v>
      </c>
      <c r="F66" s="13">
        <v>35</v>
      </c>
      <c r="G66" s="30">
        <f t="shared" si="8"/>
        <v>0.875</v>
      </c>
      <c r="H66" s="1623">
        <f t="shared" si="9"/>
        <v>0.875</v>
      </c>
      <c r="I66" s="81" t="s">
        <v>120</v>
      </c>
    </row>
    <row r="67" spans="1:9" ht="31" x14ac:dyDescent="0.35">
      <c r="A67" s="2517"/>
      <c r="B67" s="2520"/>
      <c r="C67" s="12" t="s">
        <v>121</v>
      </c>
      <c r="D67" s="13">
        <v>7</v>
      </c>
      <c r="E67" s="13">
        <v>30</v>
      </c>
      <c r="F67" s="13">
        <v>15</v>
      </c>
      <c r="G67" s="30">
        <f t="shared" si="8"/>
        <v>0.5</v>
      </c>
      <c r="H67" s="1623">
        <f t="shared" si="9"/>
        <v>0.5</v>
      </c>
      <c r="I67" s="81" t="s">
        <v>1490</v>
      </c>
    </row>
    <row r="68" spans="1:9" ht="15.5" x14ac:dyDescent="0.35">
      <c r="A68" s="5">
        <v>4</v>
      </c>
      <c r="B68" s="69" t="s">
        <v>122</v>
      </c>
      <c r="C68" s="12" t="s">
        <v>123</v>
      </c>
      <c r="D68" s="13">
        <v>8</v>
      </c>
      <c r="E68" s="13">
        <v>4</v>
      </c>
      <c r="F68" s="13">
        <v>0</v>
      </c>
      <c r="G68" s="30">
        <f t="shared" si="8"/>
        <v>0</v>
      </c>
      <c r="H68" s="1623">
        <f t="shared" si="9"/>
        <v>0</v>
      </c>
      <c r="I68" s="88"/>
    </row>
    <row r="69" spans="1:9" ht="29.5" thickBot="1" x14ac:dyDescent="0.4">
      <c r="A69" s="34">
        <v>5</v>
      </c>
      <c r="B69" s="71" t="s">
        <v>124</v>
      </c>
      <c r="C69" s="67" t="s">
        <v>125</v>
      </c>
      <c r="D69" s="18">
        <v>9</v>
      </c>
      <c r="E69" s="18">
        <v>1</v>
      </c>
      <c r="F69" s="18">
        <v>0</v>
      </c>
      <c r="G69" s="36">
        <f t="shared" si="8"/>
        <v>0</v>
      </c>
      <c r="H69" s="1623">
        <f t="shared" si="9"/>
        <v>0</v>
      </c>
      <c r="I69" s="89"/>
    </row>
    <row r="70" spans="1:9" ht="16" thickBot="1" x14ac:dyDescent="0.4">
      <c r="A70" s="90"/>
      <c r="B70" s="86"/>
      <c r="C70" s="86" t="s">
        <v>636</v>
      </c>
      <c r="D70" s="86"/>
      <c r="E70" s="86"/>
      <c r="F70" s="23"/>
      <c r="G70" s="1625" t="s">
        <v>8</v>
      </c>
      <c r="H70" s="1623" t="s">
        <v>636</v>
      </c>
      <c r="I70" s="1626">
        <f>AVERAGE(H61:H69)</f>
        <v>0.67722222222222217</v>
      </c>
    </row>
    <row r="71" spans="1:9" ht="16" thickBot="1" x14ac:dyDescent="0.4">
      <c r="A71" s="90"/>
      <c r="B71" s="86"/>
      <c r="C71" s="86" t="s">
        <v>636</v>
      </c>
      <c r="D71" s="86"/>
      <c r="E71" s="86"/>
      <c r="F71" s="23"/>
      <c r="G71" s="1625" t="s">
        <v>1489</v>
      </c>
      <c r="H71" s="1623">
        <f>AVERAGE(H6:H70)</f>
        <v>0.76182237745230252</v>
      </c>
      <c r="I71" s="1623"/>
    </row>
  </sheetData>
  <mergeCells count="24">
    <mergeCell ref="A1:J1"/>
    <mergeCell ref="A2:J2"/>
    <mergeCell ref="A60:I60"/>
    <mergeCell ref="A61:A62"/>
    <mergeCell ref="B61:B62"/>
    <mergeCell ref="A4:I4"/>
    <mergeCell ref="A7:A8"/>
    <mergeCell ref="A9:A10"/>
    <mergeCell ref="A11:A12"/>
    <mergeCell ref="B11:B12"/>
    <mergeCell ref="A64:A67"/>
    <mergeCell ref="B64:B67"/>
    <mergeCell ref="A59:I59"/>
    <mergeCell ref="A15:I15"/>
    <mergeCell ref="A25:I25"/>
    <mergeCell ref="A26:A28"/>
    <mergeCell ref="B26:B28"/>
    <mergeCell ref="A31:I31"/>
    <mergeCell ref="A32:I32"/>
    <mergeCell ref="A44:A47"/>
    <mergeCell ref="B44:B47"/>
    <mergeCell ref="A52:I52"/>
    <mergeCell ref="A53:A55"/>
    <mergeCell ref="B53:B55"/>
  </mergeCells>
  <printOptions horizontalCentered="1"/>
  <pageMargins left="0.51181102362204722" right="0.51181102362204722" top="0.55118110236220474" bottom="0.55118110236220474" header="0.31496062992125984" footer="0.31496062992125984"/>
  <pageSetup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080C-6DBC-414B-9963-3AE5C011B6F7}">
  <sheetPr>
    <tabColor rgb="FF00B050"/>
  </sheetPr>
  <dimension ref="A1:I37"/>
  <sheetViews>
    <sheetView topLeftCell="A32" zoomScaleNormal="100" workbookViewId="0">
      <selection activeCell="H6" sqref="A6:I37"/>
    </sheetView>
  </sheetViews>
  <sheetFormatPr defaultRowHeight="14.5" x14ac:dyDescent="0.35"/>
  <cols>
    <col min="1" max="1" width="8" customWidth="1"/>
    <col min="2" max="2" width="34.7265625" customWidth="1"/>
    <col min="3" max="3" width="37.1796875" customWidth="1"/>
    <col min="5" max="5" width="11.54296875" customWidth="1"/>
    <col min="6" max="6" width="13.7265625" customWidth="1"/>
    <col min="7" max="7" width="13.54296875" customWidth="1"/>
    <col min="8" max="8" width="13.54296875" style="194" customWidth="1"/>
    <col min="9" max="9" width="35.453125" customWidth="1"/>
  </cols>
  <sheetData>
    <row r="1" spans="1:9" ht="15.5" customHeight="1" x14ac:dyDescent="0.4">
      <c r="A1" s="2576" t="s">
        <v>1232</v>
      </c>
      <c r="B1" s="2576"/>
      <c r="C1" s="2576"/>
      <c r="D1" s="2576"/>
      <c r="E1" s="2576"/>
      <c r="F1" s="2576"/>
      <c r="G1" s="2576"/>
      <c r="H1" s="2576"/>
      <c r="I1" s="2577"/>
    </row>
    <row r="2" spans="1:9" ht="15.5" customHeight="1" x14ac:dyDescent="0.4">
      <c r="A2" s="2575" t="s">
        <v>1029</v>
      </c>
      <c r="B2" s="2575"/>
      <c r="C2" s="2575"/>
      <c r="D2" s="2575"/>
      <c r="E2" s="2575"/>
      <c r="F2" s="2575"/>
      <c r="G2" s="2575"/>
      <c r="H2" s="2575"/>
      <c r="I2" s="2575"/>
    </row>
    <row r="3" spans="1:9" ht="19" thickBot="1" x14ac:dyDescent="0.4">
      <c r="A3" s="2567" t="s">
        <v>0</v>
      </c>
      <c r="B3" s="2567"/>
      <c r="C3" s="2567"/>
      <c r="D3" s="2567"/>
      <c r="E3" s="2567"/>
      <c r="F3" s="2567"/>
      <c r="G3" s="2568"/>
      <c r="H3" s="2567"/>
      <c r="I3" s="2567"/>
    </row>
    <row r="4" spans="1:9" ht="47" thickBot="1" x14ac:dyDescent="0.4">
      <c r="A4" s="1144" t="s">
        <v>1083</v>
      </c>
      <c r="B4" s="1145" t="s">
        <v>3</v>
      </c>
      <c r="C4" s="1146" t="s">
        <v>4</v>
      </c>
      <c r="D4" s="1147" t="s">
        <v>5</v>
      </c>
      <c r="E4" s="1148" t="s">
        <v>6</v>
      </c>
      <c r="F4" s="1887" t="s">
        <v>7</v>
      </c>
      <c r="G4" s="1888" t="s">
        <v>8</v>
      </c>
      <c r="H4" s="1630" t="s">
        <v>1488</v>
      </c>
      <c r="I4" s="1145" t="s">
        <v>1233</v>
      </c>
    </row>
    <row r="5" spans="1:9" ht="18.5" x14ac:dyDescent="0.35">
      <c r="A5" s="2569" t="s">
        <v>126</v>
      </c>
      <c r="B5" s="2570"/>
      <c r="C5" s="2570"/>
      <c r="D5" s="2570"/>
      <c r="E5" s="2570"/>
      <c r="F5" s="2570"/>
      <c r="G5" s="2571"/>
      <c r="H5" s="2570"/>
      <c r="I5" s="2570"/>
    </row>
    <row r="6" spans="1:9" ht="93" x14ac:dyDescent="0.35">
      <c r="A6" s="2572">
        <v>1</v>
      </c>
      <c r="B6" s="2552" t="s">
        <v>1234</v>
      </c>
      <c r="C6" s="1889" t="s">
        <v>128</v>
      </c>
      <c r="D6" s="1890">
        <v>1</v>
      </c>
      <c r="E6" s="1891">
        <v>0.3</v>
      </c>
      <c r="F6" s="1891">
        <v>7.0000000000000007E-2</v>
      </c>
      <c r="G6" s="1891">
        <f t="shared" ref="G6:G17" si="0">F6/E6</f>
        <v>0.23333333333333336</v>
      </c>
      <c r="H6" s="1629">
        <f>G6</f>
        <v>0.23333333333333336</v>
      </c>
      <c r="I6" s="1897" t="s">
        <v>1535</v>
      </c>
    </row>
    <row r="7" spans="1:9" ht="31" x14ac:dyDescent="0.35">
      <c r="A7" s="2573"/>
      <c r="B7" s="2553"/>
      <c r="C7" s="1893" t="s">
        <v>129</v>
      </c>
      <c r="D7" s="1894">
        <v>2</v>
      </c>
      <c r="E7" s="1895">
        <v>35</v>
      </c>
      <c r="F7" s="1894">
        <v>25</v>
      </c>
      <c r="G7" s="1896">
        <f t="shared" si="0"/>
        <v>0.7142857142857143</v>
      </c>
      <c r="H7" s="1629">
        <f t="shared" ref="H7:H13" si="1">G7</f>
        <v>0.7142857142857143</v>
      </c>
      <c r="I7" s="1897" t="s">
        <v>1539</v>
      </c>
    </row>
    <row r="8" spans="1:9" ht="62" x14ac:dyDescent="0.35">
      <c r="A8" s="2573"/>
      <c r="B8" s="2553"/>
      <c r="C8" s="1893" t="s">
        <v>1536</v>
      </c>
      <c r="D8" s="1894">
        <v>3</v>
      </c>
      <c r="E8" s="1895">
        <v>30</v>
      </c>
      <c r="F8" s="1894">
        <v>20</v>
      </c>
      <c r="G8" s="1896">
        <f>F8/E8</f>
        <v>0.66666666666666663</v>
      </c>
      <c r="H8" s="1629">
        <f t="shared" si="1"/>
        <v>0.66666666666666663</v>
      </c>
      <c r="I8" s="1898" t="s">
        <v>1540</v>
      </c>
    </row>
    <row r="9" spans="1:9" ht="46.5" x14ac:dyDescent="0.35">
      <c r="A9" s="2574"/>
      <c r="B9" s="2553"/>
      <c r="C9" s="1893" t="s">
        <v>1235</v>
      </c>
      <c r="D9" s="1894">
        <v>4</v>
      </c>
      <c r="E9" s="1895">
        <v>20</v>
      </c>
      <c r="F9" s="1894">
        <v>5</v>
      </c>
      <c r="G9" s="1896">
        <f t="shared" si="0"/>
        <v>0.25</v>
      </c>
      <c r="H9" s="1629">
        <f t="shared" si="1"/>
        <v>0.25</v>
      </c>
      <c r="I9" s="1898" t="s">
        <v>1236</v>
      </c>
    </row>
    <row r="10" spans="1:9" ht="31" x14ac:dyDescent="0.35">
      <c r="A10" s="1892"/>
      <c r="B10" s="2554"/>
      <c r="C10" s="1893" t="s">
        <v>1235</v>
      </c>
      <c r="D10" s="1894">
        <v>5</v>
      </c>
      <c r="E10" s="1895">
        <v>20</v>
      </c>
      <c r="F10" s="1894">
        <v>5</v>
      </c>
      <c r="G10" s="1896">
        <f>F10/E10</f>
        <v>0.25</v>
      </c>
      <c r="H10" s="1629">
        <f t="shared" si="1"/>
        <v>0.25</v>
      </c>
      <c r="I10" s="1898"/>
    </row>
    <row r="11" spans="1:9" ht="46.5" x14ac:dyDescent="0.35">
      <c r="A11" s="2563">
        <v>2</v>
      </c>
      <c r="B11" s="2565" t="s">
        <v>130</v>
      </c>
      <c r="C11" s="1893" t="s">
        <v>131</v>
      </c>
      <c r="D11" s="1894">
        <v>6</v>
      </c>
      <c r="E11" s="1895">
        <v>100</v>
      </c>
      <c r="F11" s="1894">
        <v>0</v>
      </c>
      <c r="G11" s="1896">
        <f t="shared" si="0"/>
        <v>0</v>
      </c>
      <c r="H11" s="1629">
        <f t="shared" si="1"/>
        <v>0</v>
      </c>
      <c r="I11" s="1893" t="s">
        <v>1237</v>
      </c>
    </row>
    <row r="12" spans="1:9" ht="62" x14ac:dyDescent="0.35">
      <c r="A12" s="2564"/>
      <c r="B12" s="2565"/>
      <c r="C12" s="1893" t="s">
        <v>132</v>
      </c>
      <c r="D12" s="1894">
        <v>7</v>
      </c>
      <c r="E12" s="1895">
        <v>30</v>
      </c>
      <c r="F12" s="1900">
        <v>0</v>
      </c>
      <c r="G12" s="1896">
        <f t="shared" si="0"/>
        <v>0</v>
      </c>
      <c r="H12" s="1629">
        <f t="shared" si="1"/>
        <v>0</v>
      </c>
      <c r="I12" s="1893" t="s">
        <v>1238</v>
      </c>
    </row>
    <row r="13" spans="1:9" ht="93" x14ac:dyDescent="0.35">
      <c r="A13" s="2566">
        <v>3</v>
      </c>
      <c r="B13" s="2552" t="s">
        <v>133</v>
      </c>
      <c r="C13" s="1893" t="s">
        <v>134</v>
      </c>
      <c r="D13" s="1894">
        <v>8</v>
      </c>
      <c r="E13" s="1895">
        <v>2</v>
      </c>
      <c r="F13" s="1894">
        <v>2</v>
      </c>
      <c r="G13" s="1896">
        <f t="shared" si="0"/>
        <v>1</v>
      </c>
      <c r="H13" s="1629">
        <f t="shared" si="1"/>
        <v>1</v>
      </c>
      <c r="I13" s="1915" t="s">
        <v>1541</v>
      </c>
    </row>
    <row r="14" spans="1:9" ht="58" x14ac:dyDescent="0.35">
      <c r="A14" s="2566"/>
      <c r="B14" s="2553"/>
      <c r="C14" s="1893" t="s">
        <v>135</v>
      </c>
      <c r="D14" s="1894">
        <v>9</v>
      </c>
      <c r="E14" s="1895">
        <v>2</v>
      </c>
      <c r="F14" s="1894">
        <v>2</v>
      </c>
      <c r="G14" s="1896">
        <f t="shared" si="0"/>
        <v>1</v>
      </c>
      <c r="H14" s="1629">
        <f t="shared" ref="H14:H17" si="2">G14</f>
        <v>1</v>
      </c>
      <c r="I14" s="1915" t="s">
        <v>1538</v>
      </c>
    </row>
    <row r="15" spans="1:9" ht="31" x14ac:dyDescent="0.35">
      <c r="A15" s="1894"/>
      <c r="B15" s="2554"/>
      <c r="C15" s="1893" t="s">
        <v>135</v>
      </c>
      <c r="D15" s="1894">
        <v>10</v>
      </c>
      <c r="E15" s="1895">
        <v>2</v>
      </c>
      <c r="F15" s="1894">
        <v>2</v>
      </c>
      <c r="G15" s="1896">
        <f t="shared" si="0"/>
        <v>1</v>
      </c>
      <c r="H15" s="1629">
        <f t="shared" si="2"/>
        <v>1</v>
      </c>
      <c r="I15" s="1901"/>
    </row>
    <row r="16" spans="1:9" ht="31" x14ac:dyDescent="0.35">
      <c r="A16" s="2566">
        <v>4</v>
      </c>
      <c r="B16" s="2552" t="s">
        <v>136</v>
      </c>
      <c r="C16" s="1893" t="s">
        <v>137</v>
      </c>
      <c r="D16" s="1894">
        <v>11</v>
      </c>
      <c r="E16" s="1891">
        <v>0.3</v>
      </c>
      <c r="F16" s="1891">
        <v>7.0000000000000007E-2</v>
      </c>
      <c r="G16" s="1891">
        <f t="shared" si="0"/>
        <v>0.23333333333333336</v>
      </c>
      <c r="H16" s="1629">
        <f t="shared" si="2"/>
        <v>0.23333333333333336</v>
      </c>
      <c r="I16" s="1898" t="s">
        <v>1537</v>
      </c>
    </row>
    <row r="17" spans="1:9" ht="31" x14ac:dyDescent="0.35">
      <c r="A17" s="2566"/>
      <c r="B17" s="2554"/>
      <c r="C17" s="1893" t="s">
        <v>138</v>
      </c>
      <c r="D17" s="1894">
        <v>12</v>
      </c>
      <c r="E17" s="1891">
        <v>0.2</v>
      </c>
      <c r="F17" s="1891">
        <v>7.0000000000000007E-2</v>
      </c>
      <c r="G17" s="1891">
        <f t="shared" si="0"/>
        <v>0.35000000000000003</v>
      </c>
      <c r="H17" s="1629">
        <f t="shared" si="2"/>
        <v>0.35000000000000003</v>
      </c>
      <c r="I17" s="1898" t="s">
        <v>1537</v>
      </c>
    </row>
    <row r="18" spans="1:9" ht="16" thickBot="1" x14ac:dyDescent="0.4">
      <c r="A18" s="1639"/>
      <c r="B18" s="1642"/>
      <c r="C18" s="1638" t="s">
        <v>636</v>
      </c>
      <c r="D18" s="1639"/>
      <c r="E18" s="1640"/>
      <c r="F18" s="1643" t="s">
        <v>25</v>
      </c>
      <c r="G18" s="1641"/>
      <c r="H18" s="1644"/>
      <c r="I18" s="1645">
        <f>AVERAGE(H6:H17)</f>
        <v>0.47480158730158722</v>
      </c>
    </row>
    <row r="19" spans="1:9" ht="21.5" thickTop="1" x14ac:dyDescent="0.35">
      <c r="A19" s="1631"/>
      <c r="B19" s="1632"/>
      <c r="C19" s="1633"/>
      <c r="D19" s="1631"/>
      <c r="E19" s="1634"/>
      <c r="F19" s="1631"/>
      <c r="G19" s="1635"/>
      <c r="H19" s="1636"/>
      <c r="I19" s="1637"/>
    </row>
    <row r="20" spans="1:9" ht="18.5" x14ac:dyDescent="0.35">
      <c r="A20" s="2555" t="s">
        <v>139</v>
      </c>
      <c r="B20" s="2556"/>
      <c r="C20" s="2556"/>
      <c r="D20" s="2556"/>
      <c r="E20" s="2556"/>
      <c r="F20" s="2556"/>
      <c r="G20" s="2556"/>
      <c r="H20" s="2557"/>
      <c r="I20" s="2558"/>
    </row>
    <row r="21" spans="1:9" ht="62" x14ac:dyDescent="0.35">
      <c r="A21" s="2559">
        <v>1</v>
      </c>
      <c r="B21" s="1904" t="s">
        <v>140</v>
      </c>
      <c r="C21" s="1905" t="s">
        <v>141</v>
      </c>
      <c r="D21" s="1903">
        <v>13</v>
      </c>
      <c r="E21" s="1903">
        <v>33</v>
      </c>
      <c r="F21" s="1894">
        <v>33</v>
      </c>
      <c r="G21" s="1906">
        <v>1</v>
      </c>
      <c r="H21" s="1907">
        <f t="shared" ref="H21:H24" si="3">G21</f>
        <v>1</v>
      </c>
      <c r="I21" s="1908" t="s">
        <v>1239</v>
      </c>
    </row>
    <row r="22" spans="1:9" ht="46.5" x14ac:dyDescent="0.35">
      <c r="A22" s="2559"/>
      <c r="B22" s="1904" t="s">
        <v>142</v>
      </c>
      <c r="C22" s="1905" t="s">
        <v>143</v>
      </c>
      <c r="D22" s="1903">
        <v>14</v>
      </c>
      <c r="E22" s="1903">
        <v>20</v>
      </c>
      <c r="F22" s="1894">
        <v>0</v>
      </c>
      <c r="G22" s="1906">
        <v>0</v>
      </c>
      <c r="H22" s="1629">
        <f t="shared" si="3"/>
        <v>0</v>
      </c>
      <c r="I22" s="1908"/>
    </row>
    <row r="23" spans="1:9" ht="93" x14ac:dyDescent="0.35">
      <c r="A23" s="1903">
        <v>2</v>
      </c>
      <c r="B23" s="1905" t="s">
        <v>144</v>
      </c>
      <c r="C23" s="1905" t="s">
        <v>145</v>
      </c>
      <c r="D23" s="1903">
        <v>15</v>
      </c>
      <c r="E23" s="1903">
        <v>30</v>
      </c>
      <c r="F23" s="1894">
        <v>0</v>
      </c>
      <c r="G23" s="1906" t="s">
        <v>660</v>
      </c>
      <c r="H23" s="1629" t="str">
        <f t="shared" si="3"/>
        <v>Not Assessed</v>
      </c>
      <c r="I23" s="1908"/>
    </row>
    <row r="24" spans="1:9" ht="46.5" x14ac:dyDescent="0.35">
      <c r="A24" s="1903">
        <v>3</v>
      </c>
      <c r="B24" s="1905" t="s">
        <v>146</v>
      </c>
      <c r="C24" s="1905" t="s">
        <v>147</v>
      </c>
      <c r="D24" s="1903">
        <v>16</v>
      </c>
      <c r="E24" s="1903">
        <v>20</v>
      </c>
      <c r="F24" s="1894">
        <v>2</v>
      </c>
      <c r="G24" s="1906">
        <v>0.2</v>
      </c>
      <c r="H24" s="1629">
        <f t="shared" si="3"/>
        <v>0.2</v>
      </c>
      <c r="I24" s="1908" t="s">
        <v>1240</v>
      </c>
    </row>
    <row r="25" spans="1:9" ht="19" thickBot="1" x14ac:dyDescent="0.4">
      <c r="A25" s="1646"/>
      <c r="B25" s="1646"/>
      <c r="C25" s="1647" t="s">
        <v>636</v>
      </c>
      <c r="D25" s="1646"/>
      <c r="E25" s="1646"/>
      <c r="F25" s="1643" t="s">
        <v>25</v>
      </c>
      <c r="G25" s="1641"/>
      <c r="H25" s="1644"/>
      <c r="I25" s="1645">
        <f>AVERAGE(H21:H24)</f>
        <v>0.39999999999999997</v>
      </c>
    </row>
    <row r="26" spans="1:9" ht="19" thickTop="1" x14ac:dyDescent="0.35">
      <c r="A26" s="2560" t="s">
        <v>148</v>
      </c>
      <c r="B26" s="2561"/>
      <c r="C26" s="2561"/>
      <c r="D26" s="2561"/>
      <c r="E26" s="2561"/>
      <c r="F26" s="2561"/>
      <c r="G26" s="2561"/>
      <c r="H26" s="2561"/>
      <c r="I26" s="2562"/>
    </row>
    <row r="27" spans="1:9" ht="31" x14ac:dyDescent="0.35">
      <c r="A27" s="2549">
        <v>1</v>
      </c>
      <c r="B27" s="2551" t="s">
        <v>149</v>
      </c>
      <c r="C27" s="1910" t="s">
        <v>1498</v>
      </c>
      <c r="D27" s="1909">
        <v>17</v>
      </c>
      <c r="E27" s="1909">
        <v>30</v>
      </c>
      <c r="F27" s="1894">
        <v>15</v>
      </c>
      <c r="G27" s="1911">
        <v>0.5</v>
      </c>
      <c r="H27" s="1629">
        <f t="shared" ref="H27" si="4">G27</f>
        <v>0.5</v>
      </c>
      <c r="I27" s="1899" t="s">
        <v>1241</v>
      </c>
    </row>
    <row r="28" spans="1:9" ht="31" x14ac:dyDescent="0.35">
      <c r="A28" s="2549"/>
      <c r="B28" s="2551"/>
      <c r="C28" s="1899" t="s">
        <v>150</v>
      </c>
      <c r="D28" s="1909">
        <v>18</v>
      </c>
      <c r="E28" s="1909">
        <v>30</v>
      </c>
      <c r="F28" s="1894">
        <v>0</v>
      </c>
      <c r="G28" s="1911" t="s">
        <v>1420</v>
      </c>
      <c r="H28" s="1629" t="s">
        <v>1420</v>
      </c>
      <c r="I28" s="1914" t="s">
        <v>660</v>
      </c>
    </row>
    <row r="29" spans="1:9" ht="19" thickBot="1" x14ac:dyDescent="0.4">
      <c r="A29" s="1646"/>
      <c r="B29" s="1646"/>
      <c r="C29" s="1647" t="s">
        <v>636</v>
      </c>
      <c r="D29" s="1646"/>
      <c r="E29" s="1646"/>
      <c r="F29" s="1643" t="s">
        <v>25</v>
      </c>
      <c r="G29" s="1641" t="s">
        <v>636</v>
      </c>
      <c r="H29" s="1644" t="s">
        <v>636</v>
      </c>
      <c r="I29" s="1645">
        <f>AVERAGE(H27:H28)</f>
        <v>0.5</v>
      </c>
    </row>
    <row r="30" spans="1:9" ht="16" thickTop="1" x14ac:dyDescent="0.35">
      <c r="A30" s="25"/>
      <c r="B30" s="25"/>
      <c r="C30" s="25"/>
      <c r="D30" s="25"/>
      <c r="E30" s="25"/>
      <c r="F30" s="25"/>
      <c r="G30" s="25"/>
      <c r="H30" s="1912" t="s">
        <v>636</v>
      </c>
      <c r="I30" s="25"/>
    </row>
    <row r="31" spans="1:9" ht="18.5" x14ac:dyDescent="0.35">
      <c r="A31" s="2546" t="s">
        <v>151</v>
      </c>
      <c r="B31" s="2546"/>
      <c r="C31" s="2546"/>
      <c r="D31" s="2546"/>
      <c r="E31" s="2546"/>
      <c r="F31" s="2546"/>
      <c r="G31" s="2546"/>
      <c r="H31" s="2546"/>
      <c r="I31" s="2546"/>
    </row>
    <row r="32" spans="1:9" ht="18.5" x14ac:dyDescent="0.35">
      <c r="A32" s="2547" t="s">
        <v>106</v>
      </c>
      <c r="B32" s="2547"/>
      <c r="C32" s="2547"/>
      <c r="D32" s="2547"/>
      <c r="E32" s="2547"/>
      <c r="F32" s="2547"/>
      <c r="G32" s="2547"/>
      <c r="H32" s="2547"/>
      <c r="I32" s="2547"/>
    </row>
    <row r="33" spans="1:9" ht="31" x14ac:dyDescent="0.35">
      <c r="A33" s="2548">
        <v>1</v>
      </c>
      <c r="B33" s="2550" t="s">
        <v>152</v>
      </c>
      <c r="C33" s="1151" t="s">
        <v>153</v>
      </c>
      <c r="D33" s="1909">
        <v>19</v>
      </c>
      <c r="E33" s="1150">
        <v>30</v>
      </c>
      <c r="F33" s="1149">
        <v>30</v>
      </c>
      <c r="G33" s="1152">
        <f>F33/E33</f>
        <v>1</v>
      </c>
      <c r="H33" s="1629">
        <f t="shared" ref="H33:H35" si="5">G33</f>
        <v>1</v>
      </c>
      <c r="I33" s="1153"/>
    </row>
    <row r="34" spans="1:9" ht="31" x14ac:dyDescent="0.35">
      <c r="A34" s="2549"/>
      <c r="B34" s="2551"/>
      <c r="C34" s="1899" t="s">
        <v>154</v>
      </c>
      <c r="D34" s="1909">
        <v>20</v>
      </c>
      <c r="E34" s="1909">
        <v>50</v>
      </c>
      <c r="F34" s="1894">
        <v>0</v>
      </c>
      <c r="G34" s="1913">
        <f>F34/E34</f>
        <v>0</v>
      </c>
      <c r="H34" s="1629">
        <f t="shared" si="5"/>
        <v>0</v>
      </c>
      <c r="I34" s="1898"/>
    </row>
    <row r="35" spans="1:9" ht="62" x14ac:dyDescent="0.35">
      <c r="A35" s="2549"/>
      <c r="B35" s="2551"/>
      <c r="C35" s="1899" t="s">
        <v>155</v>
      </c>
      <c r="D35" s="1909">
        <v>21</v>
      </c>
      <c r="E35" s="1671">
        <v>365000000</v>
      </c>
      <c r="F35" s="1672">
        <v>89200000</v>
      </c>
      <c r="G35" s="1154">
        <f>F35/E35</f>
        <v>0.24438356164383562</v>
      </c>
      <c r="H35" s="1629">
        <f t="shared" si="5"/>
        <v>0.24438356164383562</v>
      </c>
      <c r="I35" s="1898" t="s">
        <v>1542</v>
      </c>
    </row>
    <row r="36" spans="1:9" ht="18.5" x14ac:dyDescent="0.35">
      <c r="A36" s="1646"/>
      <c r="B36" s="1646"/>
      <c r="C36" s="1647" t="s">
        <v>636</v>
      </c>
      <c r="D36" s="1646"/>
      <c r="E36" s="1646"/>
      <c r="F36" s="1643" t="s">
        <v>25</v>
      </c>
      <c r="G36" s="1641" t="s">
        <v>636</v>
      </c>
      <c r="H36" s="1644" t="s">
        <v>636</v>
      </c>
      <c r="I36" s="1645">
        <f>AVERAGE(H33:H35)</f>
        <v>0.41479452054794524</v>
      </c>
    </row>
    <row r="37" spans="1:9" ht="31" x14ac:dyDescent="0.35">
      <c r="A37" s="1646"/>
      <c r="B37" s="1646"/>
      <c r="C37" s="1647" t="s">
        <v>636</v>
      </c>
      <c r="D37" s="1646"/>
      <c r="E37" s="1646"/>
      <c r="F37" s="1643" t="s">
        <v>1087</v>
      </c>
      <c r="G37" s="1641"/>
      <c r="H37" s="1644">
        <f>AVERAGE(H6:H36)</f>
        <v>0.45484224259278333</v>
      </c>
      <c r="I37" s="1645" t="s">
        <v>636</v>
      </c>
    </row>
  </sheetData>
  <mergeCells count="21">
    <mergeCell ref="A3:I3"/>
    <mergeCell ref="A5:I5"/>
    <mergeCell ref="A6:A9"/>
    <mergeCell ref="A2:I2"/>
    <mergeCell ref="A1:I1"/>
    <mergeCell ref="A31:I31"/>
    <mergeCell ref="A32:I32"/>
    <mergeCell ref="A33:A35"/>
    <mergeCell ref="B33:B35"/>
    <mergeCell ref="B6:B10"/>
    <mergeCell ref="A20:I20"/>
    <mergeCell ref="A21:A22"/>
    <mergeCell ref="A26:I26"/>
    <mergeCell ref="A27:A28"/>
    <mergeCell ref="B27:B28"/>
    <mergeCell ref="A11:A12"/>
    <mergeCell ref="B11:B12"/>
    <mergeCell ref="A13:A14"/>
    <mergeCell ref="B13:B15"/>
    <mergeCell ref="A16:A17"/>
    <mergeCell ref="B16:B17"/>
  </mergeCells>
  <hyperlinks>
    <hyperlink ref="I13" r:id="rId1" display="https://land.jg.gov.ng/storage/forms/507M6mUr9BAXndP4qdOOhVv37BaxxnPIuHmby3gm.pdf (2 weeks is within the control of the Ministry but thereafter it depends on the Signing of HE at his descretion)" xr:uid="{73433DDE-2E88-4F69-95CB-B2E96E906B77}"/>
    <hyperlink ref="I14" r:id="rId2" xr:uid="{72A41A48-B5F5-4E14-83AC-C56EB4CF5DD6}"/>
  </hyperlinks>
  <printOptions horizontalCentered="1"/>
  <pageMargins left="0.51181102362204722" right="0.51181102362204722" top="0.55118110236220474" bottom="0.55118110236220474" header="0.31496062992125984" footer="0.31496062992125984"/>
  <pageSetup scale="72" orientation="landscape" r:id="rId3"/>
  <headerFooter>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E98D-AF17-43C3-AF4B-6AF0791CA246}">
  <dimension ref="A1:J35"/>
  <sheetViews>
    <sheetView topLeftCell="A33" zoomScaleNormal="100" workbookViewId="0">
      <selection activeCell="C10" sqref="C10"/>
    </sheetView>
  </sheetViews>
  <sheetFormatPr defaultRowHeight="14.5" x14ac:dyDescent="0.35"/>
  <cols>
    <col min="2" max="2" width="43.81640625" customWidth="1"/>
    <col min="3" max="3" width="39.26953125" customWidth="1"/>
    <col min="4" max="4" width="11.26953125" customWidth="1"/>
    <col min="5" max="5" width="12.1796875" customWidth="1"/>
    <col min="6" max="6" width="16.81640625" customWidth="1"/>
    <col min="7" max="7" width="15.81640625" customWidth="1"/>
    <col min="8" max="8" width="15.1796875" customWidth="1"/>
    <col min="9" max="9" width="31.7265625" customWidth="1"/>
    <col min="10" max="10" width="17.1796875" customWidth="1"/>
  </cols>
  <sheetData>
    <row r="1" spans="1:10" ht="17" x14ac:dyDescent="0.4">
      <c r="A1" s="2576" t="s">
        <v>1251</v>
      </c>
      <c r="B1" s="2576"/>
      <c r="C1" s="2576"/>
      <c r="D1" s="2576"/>
      <c r="E1" s="2576"/>
      <c r="F1" s="2576"/>
      <c r="G1" s="2576"/>
      <c r="H1" s="2576"/>
      <c r="I1" s="2577"/>
    </row>
    <row r="2" spans="1:10" ht="17.5" thickBot="1" x14ac:dyDescent="0.45">
      <c r="A2" s="2575" t="s">
        <v>1029</v>
      </c>
      <c r="B2" s="2575"/>
      <c r="C2" s="2575"/>
      <c r="D2" s="2575"/>
      <c r="E2" s="2575"/>
      <c r="F2" s="2575"/>
      <c r="G2" s="2575"/>
      <c r="H2" s="2575"/>
      <c r="I2" s="2575"/>
    </row>
    <row r="3" spans="1:10" ht="20.5" thickBot="1" x14ac:dyDescent="0.4">
      <c r="A3" s="2583" t="s">
        <v>967</v>
      </c>
      <c r="B3" s="2584"/>
      <c r="C3" s="2584"/>
      <c r="D3" s="2584"/>
      <c r="E3" s="2584"/>
      <c r="F3" s="2584"/>
      <c r="G3" s="2584"/>
      <c r="H3" s="2584"/>
      <c r="I3" s="2585"/>
    </row>
    <row r="4" spans="1:10" s="1655" customFormat="1" ht="43.5" customHeight="1" x14ac:dyDescent="0.35">
      <c r="A4" s="1649" t="s">
        <v>968</v>
      </c>
      <c r="B4" s="1650" t="s">
        <v>3</v>
      </c>
      <c r="C4" s="1651" t="s">
        <v>4</v>
      </c>
      <c r="D4" s="1652" t="s">
        <v>211</v>
      </c>
      <c r="E4" s="1653" t="s">
        <v>6</v>
      </c>
      <c r="F4" s="1653" t="s">
        <v>318</v>
      </c>
      <c r="G4" s="1651" t="s">
        <v>213</v>
      </c>
      <c r="H4" s="1651" t="s">
        <v>1497</v>
      </c>
      <c r="I4" s="1654" t="s">
        <v>279</v>
      </c>
    </row>
    <row r="5" spans="1:10" ht="82.5" x14ac:dyDescent="0.35">
      <c r="A5" s="2578">
        <v>1</v>
      </c>
      <c r="B5" s="2586" t="s">
        <v>969</v>
      </c>
      <c r="C5" s="866" t="s">
        <v>1252</v>
      </c>
      <c r="D5" s="867">
        <v>1</v>
      </c>
      <c r="E5" s="867">
        <v>5</v>
      </c>
      <c r="F5" s="868">
        <v>0</v>
      </c>
      <c r="G5" s="869">
        <f t="shared" ref="G5:G33" si="0">F5/E5</f>
        <v>0</v>
      </c>
      <c r="H5" s="1656">
        <f>G5</f>
        <v>0</v>
      </c>
      <c r="I5" s="1194" t="s">
        <v>970</v>
      </c>
      <c r="J5" s="705" t="s">
        <v>1253</v>
      </c>
    </row>
    <row r="6" spans="1:10" ht="49.5" x14ac:dyDescent="0.35">
      <c r="A6" s="2578"/>
      <c r="B6" s="2586"/>
      <c r="C6" s="866" t="s">
        <v>971</v>
      </c>
      <c r="D6" s="867">
        <v>2</v>
      </c>
      <c r="E6" s="867">
        <v>15</v>
      </c>
      <c r="F6" s="868">
        <v>5</v>
      </c>
      <c r="G6" s="869">
        <f t="shared" si="0"/>
        <v>0.33333333333333331</v>
      </c>
      <c r="H6" s="1656">
        <f t="shared" ref="H6:H33" si="1">G6</f>
        <v>0.33333333333333331</v>
      </c>
      <c r="I6" s="870" t="s">
        <v>972</v>
      </c>
    </row>
    <row r="7" spans="1:10" ht="181.5" x14ac:dyDescent="0.35">
      <c r="A7" s="2578">
        <v>2</v>
      </c>
      <c r="B7" s="2582" t="s">
        <v>973</v>
      </c>
      <c r="C7" s="866" t="s">
        <v>974</v>
      </c>
      <c r="D7" s="867">
        <v>3</v>
      </c>
      <c r="E7" s="871">
        <v>14</v>
      </c>
      <c r="F7" s="868">
        <v>10</v>
      </c>
      <c r="G7" s="869">
        <f t="shared" si="0"/>
        <v>0.7142857142857143</v>
      </c>
      <c r="H7" s="1656">
        <f t="shared" si="1"/>
        <v>0.7142857142857143</v>
      </c>
      <c r="I7" s="870" t="s">
        <v>975</v>
      </c>
    </row>
    <row r="8" spans="1:10" ht="99" x14ac:dyDescent="0.35">
      <c r="A8" s="2578"/>
      <c r="B8" s="2582"/>
      <c r="C8" s="866" t="s">
        <v>976</v>
      </c>
      <c r="D8" s="867">
        <v>4</v>
      </c>
      <c r="E8" s="871">
        <v>15</v>
      </c>
      <c r="F8" s="868">
        <v>19</v>
      </c>
      <c r="G8" s="869">
        <f t="shared" si="0"/>
        <v>1.2666666666666666</v>
      </c>
      <c r="H8" s="1656">
        <v>1.01</v>
      </c>
      <c r="I8" s="870" t="s">
        <v>977</v>
      </c>
    </row>
    <row r="9" spans="1:10" ht="49.5" x14ac:dyDescent="0.35">
      <c r="A9" s="2578"/>
      <c r="B9" s="2582"/>
      <c r="C9" s="866" t="s">
        <v>978</v>
      </c>
      <c r="D9" s="867">
        <v>5</v>
      </c>
      <c r="E9" s="871">
        <v>12</v>
      </c>
      <c r="F9" s="868">
        <v>0</v>
      </c>
      <c r="G9" s="869">
        <f t="shared" si="0"/>
        <v>0</v>
      </c>
      <c r="H9" s="1656">
        <f t="shared" si="1"/>
        <v>0</v>
      </c>
      <c r="I9" s="870" t="s">
        <v>979</v>
      </c>
    </row>
    <row r="10" spans="1:10" ht="66" x14ac:dyDescent="0.35">
      <c r="A10" s="2578">
        <v>3</v>
      </c>
      <c r="B10" s="2582" t="s">
        <v>980</v>
      </c>
      <c r="C10" s="866" t="s">
        <v>981</v>
      </c>
      <c r="D10" s="867">
        <v>6</v>
      </c>
      <c r="E10" s="872">
        <v>1</v>
      </c>
      <c r="F10" s="868">
        <v>1</v>
      </c>
      <c r="G10" s="869">
        <f t="shared" si="0"/>
        <v>1</v>
      </c>
      <c r="H10" s="1656">
        <f t="shared" si="1"/>
        <v>1</v>
      </c>
      <c r="I10" s="870"/>
      <c r="J10" s="1195" t="s">
        <v>335</v>
      </c>
    </row>
    <row r="11" spans="1:10" ht="58" x14ac:dyDescent="0.35">
      <c r="A11" s="2578"/>
      <c r="B11" s="2582"/>
      <c r="C11" s="866" t="s">
        <v>982</v>
      </c>
      <c r="D11" s="867">
        <v>7</v>
      </c>
      <c r="E11" s="871">
        <v>50</v>
      </c>
      <c r="F11" s="1196">
        <v>0</v>
      </c>
      <c r="G11" s="1197">
        <f t="shared" si="0"/>
        <v>0</v>
      </c>
      <c r="H11" s="1656">
        <f t="shared" si="1"/>
        <v>0</v>
      </c>
      <c r="I11" s="870" t="s">
        <v>1254</v>
      </c>
      <c r="J11" s="308" t="s">
        <v>1255</v>
      </c>
    </row>
    <row r="12" spans="1:10" ht="33" x14ac:dyDescent="0.35">
      <c r="A12" s="2578"/>
      <c r="B12" s="2582"/>
      <c r="C12" s="866" t="s">
        <v>983</v>
      </c>
      <c r="D12" s="867">
        <v>8</v>
      </c>
      <c r="E12" s="871">
        <v>50</v>
      </c>
      <c r="F12" s="1196"/>
      <c r="G12" s="1197">
        <f t="shared" si="0"/>
        <v>0</v>
      </c>
      <c r="H12" s="1656">
        <f t="shared" si="1"/>
        <v>0</v>
      </c>
      <c r="I12" s="870"/>
    </row>
    <row r="13" spans="1:10" ht="58" x14ac:dyDescent="0.35">
      <c r="A13" s="2580">
        <v>4</v>
      </c>
      <c r="B13" s="2582" t="s">
        <v>984</v>
      </c>
      <c r="C13" s="866" t="s">
        <v>985</v>
      </c>
      <c r="D13" s="867">
        <v>9</v>
      </c>
      <c r="E13" s="872">
        <v>7</v>
      </c>
      <c r="F13" s="868">
        <v>1</v>
      </c>
      <c r="G13" s="869">
        <f t="shared" si="0"/>
        <v>0.14285714285714285</v>
      </c>
      <c r="H13" s="1656">
        <v>1.01</v>
      </c>
      <c r="I13" s="870"/>
      <c r="J13" s="308" t="s">
        <v>1256</v>
      </c>
    </row>
    <row r="14" spans="1:10" ht="33" x14ac:dyDescent="0.35">
      <c r="A14" s="2580"/>
      <c r="B14" s="2582"/>
      <c r="C14" s="866" t="s">
        <v>986</v>
      </c>
      <c r="D14" s="867">
        <v>10</v>
      </c>
      <c r="E14" s="867">
        <v>30</v>
      </c>
      <c r="F14" s="1196">
        <v>0</v>
      </c>
      <c r="G14" s="1197">
        <f t="shared" si="0"/>
        <v>0</v>
      </c>
      <c r="H14" s="1656">
        <f t="shared" si="1"/>
        <v>0</v>
      </c>
      <c r="I14" s="870"/>
    </row>
    <row r="15" spans="1:10" ht="33" x14ac:dyDescent="0.35">
      <c r="A15" s="2580">
        <v>5</v>
      </c>
      <c r="B15" s="2581" t="s">
        <v>987</v>
      </c>
      <c r="C15" s="874" t="s">
        <v>988</v>
      </c>
      <c r="D15" s="867">
        <v>11</v>
      </c>
      <c r="E15" s="875">
        <v>12</v>
      </c>
      <c r="F15" s="868">
        <v>9</v>
      </c>
      <c r="G15" s="869">
        <f t="shared" si="0"/>
        <v>0.75</v>
      </c>
      <c r="H15" s="1656">
        <f t="shared" si="1"/>
        <v>0.75</v>
      </c>
      <c r="I15" s="870"/>
    </row>
    <row r="16" spans="1:10" ht="33" x14ac:dyDescent="0.35">
      <c r="A16" s="2580"/>
      <c r="B16" s="2581"/>
      <c r="C16" s="876" t="s">
        <v>989</v>
      </c>
      <c r="D16" s="867">
        <v>12</v>
      </c>
      <c r="E16" s="877">
        <v>5</v>
      </c>
      <c r="F16" s="868">
        <v>0</v>
      </c>
      <c r="G16" s="869">
        <f t="shared" si="0"/>
        <v>0</v>
      </c>
      <c r="H16" s="1656">
        <f t="shared" si="1"/>
        <v>0</v>
      </c>
      <c r="I16" s="870"/>
    </row>
    <row r="17" spans="1:10" ht="66" x14ac:dyDescent="0.35">
      <c r="A17" s="2580"/>
      <c r="B17" s="2581"/>
      <c r="C17" s="876" t="s">
        <v>990</v>
      </c>
      <c r="D17" s="867">
        <v>13</v>
      </c>
      <c r="E17" s="875">
        <v>70</v>
      </c>
      <c r="F17" s="868">
        <v>93</v>
      </c>
      <c r="G17" s="869">
        <f t="shared" si="0"/>
        <v>1.3285714285714285</v>
      </c>
      <c r="H17" s="1656">
        <v>1.01</v>
      </c>
      <c r="I17" s="870" t="s">
        <v>991</v>
      </c>
    </row>
    <row r="18" spans="1:10" ht="49.5" x14ac:dyDescent="0.35">
      <c r="A18" s="2580"/>
      <c r="B18" s="2581"/>
      <c r="C18" s="874" t="s">
        <v>992</v>
      </c>
      <c r="D18" s="867">
        <v>14</v>
      </c>
      <c r="E18" s="875">
        <v>50</v>
      </c>
      <c r="F18" s="868">
        <v>71</v>
      </c>
      <c r="G18" s="869">
        <f>F18/E18</f>
        <v>1.42</v>
      </c>
      <c r="H18" s="1656">
        <v>1.01</v>
      </c>
      <c r="I18" s="870" t="s">
        <v>993</v>
      </c>
    </row>
    <row r="19" spans="1:10" ht="115.5" x14ac:dyDescent="0.35">
      <c r="A19" s="2580"/>
      <c r="B19" s="2581"/>
      <c r="C19" s="873" t="s">
        <v>994</v>
      </c>
      <c r="D19" s="867">
        <v>15</v>
      </c>
      <c r="E19" s="878">
        <v>100</v>
      </c>
      <c r="F19" s="868">
        <v>11</v>
      </c>
      <c r="G19" s="869">
        <f t="shared" si="0"/>
        <v>0.11</v>
      </c>
      <c r="H19" s="1656">
        <f t="shared" si="1"/>
        <v>0.11</v>
      </c>
      <c r="I19" s="870" t="s">
        <v>995</v>
      </c>
    </row>
    <row r="20" spans="1:10" ht="66" x14ac:dyDescent="0.35">
      <c r="A20" s="2580"/>
      <c r="B20" s="2581"/>
      <c r="C20" s="873" t="s">
        <v>996</v>
      </c>
      <c r="D20" s="867">
        <v>16</v>
      </c>
      <c r="E20" s="878">
        <v>5</v>
      </c>
      <c r="F20" s="868">
        <v>7</v>
      </c>
      <c r="G20" s="869">
        <f t="shared" si="0"/>
        <v>1.4</v>
      </c>
      <c r="H20" s="1656">
        <v>1.01</v>
      </c>
      <c r="I20" s="870" t="s">
        <v>1257</v>
      </c>
    </row>
    <row r="21" spans="1:10" ht="82.5" x14ac:dyDescent="0.35">
      <c r="A21" s="2580"/>
      <c r="B21" s="2581"/>
      <c r="C21" s="873" t="s">
        <v>997</v>
      </c>
      <c r="D21" s="867">
        <v>17</v>
      </c>
      <c r="E21" s="878">
        <v>20</v>
      </c>
      <c r="F21" s="868">
        <v>12</v>
      </c>
      <c r="G21" s="869">
        <f t="shared" si="0"/>
        <v>0.6</v>
      </c>
      <c r="H21" s="1656">
        <f t="shared" si="1"/>
        <v>0.6</v>
      </c>
      <c r="I21" s="870" t="s">
        <v>998</v>
      </c>
    </row>
    <row r="22" spans="1:10" ht="49.5" x14ac:dyDescent="0.35">
      <c r="A22" s="2580">
        <v>6</v>
      </c>
      <c r="B22" s="2581" t="s">
        <v>999</v>
      </c>
      <c r="C22" s="873" t="s">
        <v>1000</v>
      </c>
      <c r="D22" s="867">
        <v>18</v>
      </c>
      <c r="E22" s="878">
        <v>10</v>
      </c>
      <c r="F22" s="868">
        <v>10</v>
      </c>
      <c r="G22" s="869">
        <f t="shared" si="0"/>
        <v>1</v>
      </c>
      <c r="H22" s="1656">
        <f t="shared" si="1"/>
        <v>1</v>
      </c>
      <c r="I22" s="870" t="s">
        <v>1001</v>
      </c>
    </row>
    <row r="23" spans="1:10" ht="82.5" x14ac:dyDescent="0.35">
      <c r="A23" s="2580"/>
      <c r="B23" s="2581"/>
      <c r="C23" s="873" t="s">
        <v>1002</v>
      </c>
      <c r="D23" s="867">
        <v>19</v>
      </c>
      <c r="E23" s="878">
        <v>100</v>
      </c>
      <c r="F23" s="868">
        <v>83</v>
      </c>
      <c r="G23" s="869">
        <f t="shared" si="0"/>
        <v>0.83</v>
      </c>
      <c r="H23" s="1656">
        <f t="shared" si="1"/>
        <v>0.83</v>
      </c>
      <c r="I23" s="870" t="s">
        <v>1003</v>
      </c>
    </row>
    <row r="24" spans="1:10" ht="66" x14ac:dyDescent="0.35">
      <c r="A24" s="2580"/>
      <c r="B24" s="2581"/>
      <c r="C24" s="876" t="s">
        <v>1004</v>
      </c>
      <c r="D24" s="867">
        <v>20</v>
      </c>
      <c r="E24" s="878">
        <v>5</v>
      </c>
      <c r="F24" s="868">
        <v>4</v>
      </c>
      <c r="G24" s="869">
        <f t="shared" si="0"/>
        <v>0.8</v>
      </c>
      <c r="H24" s="1656">
        <f t="shared" si="1"/>
        <v>0.8</v>
      </c>
      <c r="I24" s="870" t="s">
        <v>1005</v>
      </c>
    </row>
    <row r="25" spans="1:10" ht="82.5" x14ac:dyDescent="0.35">
      <c r="A25" s="2580"/>
      <c r="B25" s="2581"/>
      <c r="C25" s="874" t="s">
        <v>1006</v>
      </c>
      <c r="D25" s="867">
        <v>21</v>
      </c>
      <c r="E25" s="868">
        <v>30</v>
      </c>
      <c r="F25" s="868">
        <v>30</v>
      </c>
      <c r="G25" s="869">
        <f t="shared" si="0"/>
        <v>1</v>
      </c>
      <c r="H25" s="1656">
        <f t="shared" si="1"/>
        <v>1</v>
      </c>
      <c r="I25" s="870" t="s">
        <v>1007</v>
      </c>
    </row>
    <row r="26" spans="1:10" ht="49.5" x14ac:dyDescent="0.35">
      <c r="A26" s="2578">
        <v>7</v>
      </c>
      <c r="B26" s="2579" t="s">
        <v>1258</v>
      </c>
      <c r="C26" s="874" t="s">
        <v>1008</v>
      </c>
      <c r="D26" s="867">
        <v>22</v>
      </c>
      <c r="E26" s="868">
        <v>100</v>
      </c>
      <c r="F26" s="868">
        <v>178</v>
      </c>
      <c r="G26" s="869">
        <f t="shared" si="0"/>
        <v>1.78</v>
      </c>
      <c r="H26" s="1656">
        <v>1.01</v>
      </c>
      <c r="I26" s="870" t="s">
        <v>1009</v>
      </c>
    </row>
    <row r="27" spans="1:10" ht="99" x14ac:dyDescent="0.35">
      <c r="A27" s="2578"/>
      <c r="B27" s="2579"/>
      <c r="C27" s="1198" t="s">
        <v>1010</v>
      </c>
      <c r="D27" s="867">
        <v>23</v>
      </c>
      <c r="E27" s="868">
        <v>60</v>
      </c>
      <c r="F27" s="868">
        <v>0</v>
      </c>
      <c r="G27" s="869">
        <f t="shared" si="0"/>
        <v>0</v>
      </c>
      <c r="H27" s="1656">
        <f t="shared" si="1"/>
        <v>0</v>
      </c>
      <c r="I27" s="870" t="s">
        <v>1011</v>
      </c>
      <c r="J27" s="308" t="s">
        <v>1259</v>
      </c>
    </row>
    <row r="28" spans="1:10" ht="115.5" x14ac:dyDescent="0.35">
      <c r="A28" s="2578"/>
      <c r="B28" s="2579"/>
      <c r="C28" s="874" t="s">
        <v>1012</v>
      </c>
      <c r="D28" s="867">
        <v>24</v>
      </c>
      <c r="E28" s="868">
        <v>160</v>
      </c>
      <c r="F28" s="868">
        <v>84</v>
      </c>
      <c r="G28" s="869">
        <f t="shared" si="0"/>
        <v>0.52500000000000002</v>
      </c>
      <c r="H28" s="1656">
        <f t="shared" si="1"/>
        <v>0.52500000000000002</v>
      </c>
      <c r="I28" s="870" t="s">
        <v>1013</v>
      </c>
    </row>
    <row r="29" spans="1:10" ht="66" x14ac:dyDescent="0.35">
      <c r="A29" s="2578">
        <v>8</v>
      </c>
      <c r="B29" s="2579" t="s">
        <v>1014</v>
      </c>
      <c r="C29" s="874" t="s">
        <v>1260</v>
      </c>
      <c r="D29" s="867">
        <v>25</v>
      </c>
      <c r="E29" s="868">
        <v>150</v>
      </c>
      <c r="F29" s="868">
        <v>44</v>
      </c>
      <c r="G29" s="869">
        <f t="shared" si="0"/>
        <v>0.29333333333333333</v>
      </c>
      <c r="H29" s="1656">
        <f t="shared" si="1"/>
        <v>0.29333333333333333</v>
      </c>
      <c r="I29" s="870" t="s">
        <v>1015</v>
      </c>
    </row>
    <row r="30" spans="1:10" ht="148.5" x14ac:dyDescent="0.35">
      <c r="A30" s="2578"/>
      <c r="B30" s="2579"/>
      <c r="C30" s="874" t="s">
        <v>1016</v>
      </c>
      <c r="D30" s="867">
        <v>26</v>
      </c>
      <c r="E30" s="868">
        <v>360</v>
      </c>
      <c r="F30" s="868">
        <v>64</v>
      </c>
      <c r="G30" s="869">
        <f t="shared" si="0"/>
        <v>0.17777777777777778</v>
      </c>
      <c r="H30" s="1656">
        <f t="shared" si="1"/>
        <v>0.17777777777777778</v>
      </c>
      <c r="I30" s="870" t="s">
        <v>1017</v>
      </c>
    </row>
    <row r="31" spans="1:10" ht="99" x14ac:dyDescent="0.35">
      <c r="A31" s="2578"/>
      <c r="B31" s="2579"/>
      <c r="C31" s="874" t="s">
        <v>1018</v>
      </c>
      <c r="D31" s="867">
        <v>27</v>
      </c>
      <c r="E31" s="868">
        <v>100</v>
      </c>
      <c r="F31" s="868">
        <v>100</v>
      </c>
      <c r="G31" s="869">
        <f t="shared" si="0"/>
        <v>1</v>
      </c>
      <c r="H31" s="1656">
        <f t="shared" si="1"/>
        <v>1</v>
      </c>
      <c r="I31" s="870" t="s">
        <v>1019</v>
      </c>
    </row>
    <row r="32" spans="1:10" ht="49.5" x14ac:dyDescent="0.35">
      <c r="A32" s="2578"/>
      <c r="B32" s="2579"/>
      <c r="C32" s="874" t="s">
        <v>1020</v>
      </c>
      <c r="D32" s="867">
        <v>28</v>
      </c>
      <c r="E32" s="868">
        <v>50</v>
      </c>
      <c r="F32" s="868">
        <v>16</v>
      </c>
      <c r="G32" s="869">
        <f t="shared" si="0"/>
        <v>0.32</v>
      </c>
      <c r="H32" s="1656">
        <f t="shared" si="1"/>
        <v>0.32</v>
      </c>
      <c r="I32" s="870" t="s">
        <v>1021</v>
      </c>
    </row>
    <row r="33" spans="1:9" ht="66" x14ac:dyDescent="0.35">
      <c r="A33" s="1657">
        <v>9</v>
      </c>
      <c r="B33" s="1658" t="s">
        <v>1022</v>
      </c>
      <c r="C33" s="1658" t="s">
        <v>1023</v>
      </c>
      <c r="D33" s="867">
        <v>29</v>
      </c>
      <c r="E33" s="1659">
        <v>30</v>
      </c>
      <c r="F33" s="1659">
        <v>30</v>
      </c>
      <c r="G33" s="1660">
        <f t="shared" si="0"/>
        <v>1</v>
      </c>
      <c r="H33" s="1661">
        <f t="shared" si="1"/>
        <v>1</v>
      </c>
      <c r="I33" s="1648" t="s">
        <v>1024</v>
      </c>
    </row>
    <row r="34" spans="1:9" ht="17.5" thickBot="1" x14ac:dyDescent="0.4">
      <c r="A34" s="1662"/>
      <c r="B34" s="1663"/>
      <c r="C34" s="1664"/>
      <c r="D34" s="867">
        <v>30</v>
      </c>
      <c r="E34" s="1665"/>
      <c r="F34" s="1666"/>
      <c r="G34" s="1669" t="s">
        <v>1087</v>
      </c>
      <c r="H34" s="1667">
        <f>AVERAGE(H5:H33)</f>
        <v>0.56943897099069507</v>
      </c>
      <c r="I34" s="1668"/>
    </row>
    <row r="35" spans="1:9" ht="15" thickTop="1" x14ac:dyDescent="0.35"/>
  </sheetData>
  <mergeCells count="19">
    <mergeCell ref="A1:I1"/>
    <mergeCell ref="A2:I2"/>
    <mergeCell ref="A3:I3"/>
    <mergeCell ref="A5:A6"/>
    <mergeCell ref="B5:B6"/>
    <mergeCell ref="A7:A9"/>
    <mergeCell ref="B7:B9"/>
    <mergeCell ref="A10:A12"/>
    <mergeCell ref="B10:B12"/>
    <mergeCell ref="A13:A14"/>
    <mergeCell ref="B13:B14"/>
    <mergeCell ref="A29:A32"/>
    <mergeCell ref="B29:B32"/>
    <mergeCell ref="A15:A21"/>
    <mergeCell ref="B15:B21"/>
    <mergeCell ref="A22:A25"/>
    <mergeCell ref="B22:B25"/>
    <mergeCell ref="A26:A28"/>
    <mergeCell ref="B26:B28"/>
  </mergeCells>
  <printOptions horizontalCentered="1"/>
  <pageMargins left="0.51181102362204722" right="0.51181102362204722" top="0.55118110236220474" bottom="0.55118110236220474" header="0.31496062992125984" footer="0.31496062992125984"/>
  <pageSetup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43</vt:i4>
      </vt:variant>
    </vt:vector>
  </HeadingPairs>
  <TitlesOfParts>
    <vt:vector size="67" baseType="lpstr">
      <vt:lpstr>Overall Summary</vt:lpstr>
      <vt:lpstr>Grand Summary-Sector_MDAs+</vt:lpstr>
      <vt:lpstr>Sector_MDAs Summary-Details</vt:lpstr>
      <vt:lpstr>1. OHOS</vt:lpstr>
      <vt:lpstr>2. SSGs Office</vt:lpstr>
      <vt:lpstr>3. Min. of Special Duties</vt:lpstr>
      <vt:lpstr>4. Min. of LG</vt:lpstr>
      <vt:lpstr>5. Min. of Budget</vt:lpstr>
      <vt:lpstr>6. Min. of Works</vt:lpstr>
      <vt:lpstr>7. Power</vt:lpstr>
      <vt:lpstr>8. Min. of Comm</vt:lpstr>
      <vt:lpstr>9. Min. of Agric</vt:lpstr>
      <vt:lpstr>10. Min. of Water SS</vt:lpstr>
      <vt:lpstr>11. Min. of Health</vt:lpstr>
      <vt:lpstr>12. Min. of Infor</vt:lpstr>
      <vt:lpstr>13. Min. of Basic Edu</vt:lpstr>
      <vt:lpstr>14. Min. of Higher Edu</vt:lpstr>
      <vt:lpstr>15. Empowerment</vt:lpstr>
      <vt:lpstr>16. JigawaInvest</vt:lpstr>
      <vt:lpstr>MoF-JIRS</vt:lpstr>
      <vt:lpstr>18. Min. of Women Affrs</vt:lpstr>
      <vt:lpstr>19. Min. of Env</vt:lpstr>
      <vt:lpstr>20. Min. of Land</vt:lpstr>
      <vt:lpstr>21. MoJustice</vt:lpstr>
      <vt:lpstr>'1. OHOS'!Print_Area</vt:lpstr>
      <vt:lpstr>'10. Min. of Water SS'!Print_Area</vt:lpstr>
      <vt:lpstr>'12. Min. of Infor'!Print_Area</vt:lpstr>
      <vt:lpstr>'13. Min. of Basic Edu'!Print_Area</vt:lpstr>
      <vt:lpstr>'14. Min. of Higher Edu'!Print_Area</vt:lpstr>
      <vt:lpstr>'15. Empowerment'!Print_Area</vt:lpstr>
      <vt:lpstr>'16. JigawaInvest'!Print_Area</vt:lpstr>
      <vt:lpstr>'18. Min. of Women Affrs'!Print_Area</vt:lpstr>
      <vt:lpstr>'19. Min. of Env'!Print_Area</vt:lpstr>
      <vt:lpstr>'2. SSGs Office'!Print_Area</vt:lpstr>
      <vt:lpstr>'20. Min. of Land'!Print_Area</vt:lpstr>
      <vt:lpstr>'21. MoJustice'!Print_Area</vt:lpstr>
      <vt:lpstr>'3. Min. of Special Duties'!Print_Area</vt:lpstr>
      <vt:lpstr>'5. Min. of Budget'!Print_Area</vt:lpstr>
      <vt:lpstr>'6. Min. of Works'!Print_Area</vt:lpstr>
      <vt:lpstr>'7. Power'!Print_Area</vt:lpstr>
      <vt:lpstr>'8. Min. of Comm'!Print_Area</vt:lpstr>
      <vt:lpstr>'9. Min. of Agric'!Print_Area</vt:lpstr>
      <vt:lpstr>'Grand Summary-Sector_MDAs+'!Print_Area</vt:lpstr>
      <vt:lpstr>'MoF-JIRS'!Print_Area</vt:lpstr>
      <vt:lpstr>'Overall Summary'!Print_Area</vt:lpstr>
      <vt:lpstr>'Sector_MDAs Summary-Details'!Print_Area</vt:lpstr>
      <vt:lpstr>'1. OHOS'!Print_Titles</vt:lpstr>
      <vt:lpstr>'10. Min. of Water SS'!Print_Titles</vt:lpstr>
      <vt:lpstr>'12. Min. of Infor'!Print_Titles</vt:lpstr>
      <vt:lpstr>'13. Min. of Basic Edu'!Print_Titles</vt:lpstr>
      <vt:lpstr>'14. Min. of Higher Edu'!Print_Titles</vt:lpstr>
      <vt:lpstr>'15. Empowerment'!Print_Titles</vt:lpstr>
      <vt:lpstr>'16. JigawaInvest'!Print_Titles</vt:lpstr>
      <vt:lpstr>'18. Min. of Women Affrs'!Print_Titles</vt:lpstr>
      <vt:lpstr>'19. Min. of Env'!Print_Titles</vt:lpstr>
      <vt:lpstr>'2. SSGs Office'!Print_Titles</vt:lpstr>
      <vt:lpstr>'20. Min. of Land'!Print_Titles</vt:lpstr>
      <vt:lpstr>'21. MoJustice'!Print_Titles</vt:lpstr>
      <vt:lpstr>'3. Min. of Special Duties'!Print_Titles</vt:lpstr>
      <vt:lpstr>'5. Min. of Budget'!Print_Titles</vt:lpstr>
      <vt:lpstr>'6. Min. of Works'!Print_Titles</vt:lpstr>
      <vt:lpstr>'8. Min. of Comm'!Print_Titles</vt:lpstr>
      <vt:lpstr>'9. Min. of Agric'!Print_Titles</vt:lpstr>
      <vt:lpstr>'Grand Summary-Sector_MDAs+'!Print_Titles</vt:lpstr>
      <vt:lpstr>'MoF-JIRS'!Print_Titles</vt:lpstr>
      <vt:lpstr>'Overall Summary'!Print_Titles</vt:lpstr>
      <vt:lpstr>'Sector_MDAs Summary-Details'!Print_Titles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 S. Kudai</dc:creator>
  <cp:lastModifiedBy>Adamu M. Garun-Gabas</cp:lastModifiedBy>
  <cp:lastPrinted>2025-07-30T17:39:44Z</cp:lastPrinted>
  <dcterms:created xsi:type="dcterms:W3CDTF">2025-03-08T13:04:24Z</dcterms:created>
  <dcterms:modified xsi:type="dcterms:W3CDTF">2025-07-30T17:47:44Z</dcterms:modified>
</cp:coreProperties>
</file>